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Univariado" sheetId="3" state="visible" r:id="rId5"/>
    <sheet name="Hierarquico_Discrim" sheetId="4" state="visible" r:id="rId6"/>
    <sheet name="Hierarquico_NRI_IDI" sheetId="5" state="visible" r:id="rId7"/>
    <sheet name="Benchmark" sheetId="6" state="visible" r:id="rId8"/>
    <sheet name="Responsividade" sheetId="7" state="visible" r:id="rId9"/>
    <sheet name="Genetica" sheetId="8" state="visible" r:id="rId10"/>
    <sheet name="Validacao" sheetId="9" state="visible" r:id="rId11"/>
    <sheet name="Calibracao" sheetId="10" state="visible" r:id="rId12"/>
    <sheet name="Incidencia" sheetId="11" state="visible" r:id="rId13"/>
    <sheet name="Table1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<sst xmlns="http://schemas.openxmlformats.org/spreadsheetml/2006/main" count="286" uniqueCount="256">
  <si>
    <t xml:space="preserve">COMO INTERPRETAR ESTE EXCEL</t>
  </si>
  <si>
    <t xml:space="preserve">Este arquivo reúne TODAS as estatísticas do estudo (PPMI v2). Cada aba é uma análise. Use este guia para interpretar.</t>
  </si>
  <si>
    <t xml:space="preserve">TERMO</t>
  </si>
  <si>
    <t xml:space="preserve">O QUE SIGNIFICA / COMO LER</t>
  </si>
  <si>
    <t xml:space="preserve">valor-p (p)</t>
  </si>
  <si>
    <t xml:space="preserve">Probabilidade de o achado ser por acaso. p&lt;0,05 = estatisticamente significativo (destacado em VERDE). Quanto menor, mais forte.</t>
  </si>
  <si>
    <t xml:space="preserve">p_FDR</t>
  </si>
  <si>
    <t xml:space="preserve">valor-p corrigido para muitos testes ao mesmo tempo. Use ESTE (não o p bruto) para decidir significância no Cox univariado.</t>
  </si>
  <si>
    <t xml:space="preserve">HR (hazard ratio)</t>
  </si>
  <si>
    <t xml:space="preserve">Quantas vezes muda o risco. HR&gt;1 AUMENTA o risco; HR&lt;1 REDUZ; HR=1 neutro. Ex.: HR 2,0 = dobro do risco.</t>
  </si>
  <si>
    <t xml:space="preserve">HR por DP</t>
  </si>
  <si>
    <t xml:space="preserve">o HR é por 1 desvio-padrão do preditor (permite comparar variáveis de escalas diferentes).</t>
  </si>
  <si>
    <t xml:space="preserve">IC inf / IC sup</t>
  </si>
  <si>
    <t xml:space="preserve">Intervalo de confiança 95% do HR. Se o intervalo NÃO cruza 1, o efeito é significativo.</t>
  </si>
  <si>
    <t xml:space="preserve">C-index</t>
  </si>
  <si>
    <t xml:space="preserve">Capacidade de ordenar quem adoece antes. 0,5=acaso; 1,0=perfeito; ~0,65=moderado/bom. Comparável entre modelos.</t>
  </si>
  <si>
    <t xml:space="preserve">AUC(t)</t>
  </si>
  <si>
    <t xml:space="preserve">como o C-index, mas num horizonte específico (ex.: AUC_5a = acerto em 5 anos).</t>
  </si>
  <si>
    <t xml:space="preserve">ΔC (dC)</t>
  </si>
  <si>
    <t xml:space="preserve">ganho de C-index ao adicionar uma modalidade. Perto de 0 = não agrega.</t>
  </si>
  <si>
    <t xml:space="preserve">NRI / IDI</t>
  </si>
  <si>
    <t xml:space="preserve">ganho de reclassificação/discriminação ao adicionar um preditor. Perto de 0 = agrega pouco.</t>
  </si>
  <si>
    <t xml:space="preserve">p_PH</t>
  </si>
  <si>
    <t xml:space="preserve">teste da premissa do Cox (Schoenfeld). p ALTO (&gt;0,05) = premissa OK (bom).</t>
  </si>
  <si>
    <t xml:space="preserve">Incidência KM</t>
  </si>
  <si>
    <t xml:space="preserve">% acumulada de pacientes que desenvolveram discinesia até aquele ano (com intervalo de confiança).</t>
  </si>
  <si>
    <t xml:space="preserve">calibração (predito vs observado)</t>
  </si>
  <si>
    <t xml:space="preserve">quanto mais próximos, melhor o modelo prevê a probabilidade real.</t>
  </si>
  <si>
    <t xml:space="preserve">LEGENDA DE CORES</t>
  </si>
  <si>
    <t xml:space="preserve">Verde = p&lt;0,05 (significativo). Cabeçalho azul = título da coluna.</t>
  </si>
  <si>
    <t xml:space="preserve">ATENÇÃO</t>
  </si>
  <si>
    <t xml:space="preserve">C-index/AUC nas abas são 'apparent' (in-sample); o número HONESTO validado é C≈0,65 (aba Validação).</t>
  </si>
  <si>
    <t xml:space="preserve">Resumo dos números-chave</t>
  </si>
  <si>
    <t xml:space="preserve">Os principais resultados do estudo em uma página.</t>
  </si>
  <si>
    <t xml:space="preserve">Métrica</t>
  </si>
  <si>
    <t xml:space="preserve">Valor</t>
  </si>
  <si>
    <t xml:space="preserve">Coorte (pacientes)</t>
  </si>
  <si>
    <t xml:space="preserve">1.447</t>
  </si>
  <si>
    <t xml:space="preserve">Eventos (discinesia problemática)</t>
  </si>
  <si>
    <t xml:space="preserve">303</t>
  </si>
  <si>
    <t xml:space="preserve">Definição do desfecho</t>
  </si>
  <si>
    <t xml:space="preserve">MDS-UPDRS 4.1≥2 OU 4.2≥2</t>
  </si>
  <si>
    <t xml:space="preserve">Tempo-zero</t>
  </si>
  <si>
    <t xml:space="preserve">início real da levodopa (corrigido)</t>
  </si>
  <si>
    <t xml:space="preserve">Incidência 3/5/7/10 anos (KM)</t>
  </si>
  <si>
    <t xml:space="preserve">~11% / 23% / 37% / 53%</t>
  </si>
  <si>
    <t xml:space="preserve">C-index honesto (leave-one-site-out)</t>
  </si>
  <si>
    <t xml:space="preserve">0,654</t>
  </si>
  <si>
    <t xml:space="preserve">C-index corrigido (bootstrap)</t>
  </si>
  <si>
    <t xml:space="preserve">0,661</t>
  </si>
  <si>
    <t xml:space="preserve">Estratos de risco 5 anos (baixo/interm/alto)</t>
  </si>
  <si>
    <t xml:space="preserve">12% / 18% / 36%</t>
  </si>
  <si>
    <t xml:space="preserve">Achado novo (responsividade &gt;50%)</t>
  </si>
  <si>
    <t xml:space="preserve">HR 1,46 (p=0,034) — mais risco</t>
  </si>
  <si>
    <t xml:space="preserve">Benchmark (nosso L1 vs Loo vs Martínez-C)</t>
  </si>
  <si>
    <t xml:space="preserve">0,678 &gt; 0,650 &gt; 0,595</t>
  </si>
  <si>
    <t xml:space="preserve">Cox univariado (cada preditor isolado)</t>
  </si>
  <si>
    <t xml:space="preserve">HR por desvio-padrão; use p_FDR para significância; p_PH alto = premissa OK. Origem t=0.</t>
  </si>
  <si>
    <t xml:space="preserve">Preditor</t>
  </si>
  <si>
    <t xml:space="preserve">n</t>
  </si>
  <si>
    <t xml:space="preserve">eventos</t>
  </si>
  <si>
    <t xml:space="preserve">HR</t>
  </si>
  <si>
    <t xml:space="preserve">IC inf</t>
  </si>
  <si>
    <t xml:space="preserve">IC sup</t>
  </si>
  <si>
    <t xml:space="preserve">p</t>
  </si>
  <si>
    <t xml:space="preserve">Significativo? (p&lt;0,05)</t>
  </si>
  <si>
    <t xml:space="preserve">updrs2_score (/DP)</t>
  </si>
  <si>
    <t xml:space="preserve">pigd</t>
  </si>
  <si>
    <t xml:space="preserve">SEX</t>
  </si>
  <si>
    <t xml:space="preserve">ageonset (/DP)</t>
  </si>
  <si>
    <t xml:space="preserve">updrs1_score (/DP)</t>
  </si>
  <si>
    <t xml:space="preserve">comp_bradicinesia (/DP)</t>
  </si>
  <si>
    <t xml:space="preserve">updrs3_score (/DP)</t>
  </si>
  <si>
    <t xml:space="preserve">comp_marcha_pi (/DP)</t>
  </si>
  <si>
    <t xml:space="preserve">tau (/DP)</t>
  </si>
  <si>
    <t xml:space="preserve">td_pigd_ratio (/DP)</t>
  </si>
  <si>
    <t xml:space="preserve">ptau (/DP)</t>
  </si>
  <si>
    <t xml:space="preserve">BMI (/DP)</t>
  </si>
  <si>
    <t xml:space="preserve">is_pigd</t>
  </si>
  <si>
    <t xml:space="preserve">td_pigd</t>
  </si>
  <si>
    <t xml:space="preserve">abeta (/DP)</t>
  </si>
  <si>
    <t xml:space="preserve">datscan_putamen_min (/DP)</t>
  </si>
  <si>
    <t xml:space="preserve">moca (/DP)</t>
  </si>
  <si>
    <t xml:space="preserve">stai (/DP)</t>
  </si>
  <si>
    <t xml:space="preserve">comp_axial (/DP)</t>
  </si>
  <si>
    <t xml:space="preserve">duration_yrs (/DP)</t>
  </si>
  <si>
    <t xml:space="preserve">MIA_CAUDATE_L (/DP)</t>
  </si>
  <si>
    <t xml:space="preserve">upsit (/DP)</t>
  </si>
  <si>
    <t xml:space="preserve">comp_fala (/DP)</t>
  </si>
  <si>
    <t xml:space="preserve">NFL_CSF (/DP)</t>
  </si>
  <si>
    <t xml:space="preserve">comp_assimetria_lr (/DP)</t>
  </si>
  <si>
    <t xml:space="preserve">comp_tremor (/DP)</t>
  </si>
  <si>
    <t xml:space="preserve">MIA_CAUDATE_R (/DP)</t>
  </si>
  <si>
    <t xml:space="preserve">datscan_putamen_asym (/DP)</t>
  </si>
  <si>
    <t xml:space="preserve">Modelos hierárquicos L1→L5 — discriminação</t>
  </si>
  <si>
    <t xml:space="preserve">C-index e AUC(t) por camada. ATENÇÃO: comparar ganho só na aba NRI/IDI (mesmo subconjunto).</t>
  </si>
  <si>
    <t xml:space="preserve">modelo</t>
  </si>
  <si>
    <t xml:space="preserve">k</t>
  </si>
  <si>
    <t xml:space="preserve">EPV</t>
  </si>
  <si>
    <t xml:space="preserve">AUC_3a</t>
  </si>
  <si>
    <t xml:space="preserve">AUC_5a</t>
  </si>
  <si>
    <t xml:space="preserve">AUC_7a</t>
  </si>
  <si>
    <t xml:space="preserve">AUC_10a</t>
  </si>
  <si>
    <t xml:space="preserve">L1_clinico</t>
  </si>
  <si>
    <t xml:space="preserve">L1+L3_DaTSCAN</t>
  </si>
  <si>
    <t xml:space="preserve">L1+L4_LCR</t>
  </si>
  <si>
    <t xml:space="preserve">L5_combinado</t>
  </si>
  <si>
    <t xml:space="preserve">Ganho incremental por modalidade (mesmo subconjunto)</t>
  </si>
  <si>
    <t xml:space="preserve">dC≈0 e NRI/IDI baixos = a modalidade agrega pouco. Conclusão: clínico basta.</t>
  </si>
  <si>
    <t xml:space="preserve">transicao</t>
  </si>
  <si>
    <t xml:space="preserve">n_comp</t>
  </si>
  <si>
    <t xml:space="preserve">eventos_5a</t>
  </si>
  <si>
    <t xml:space="preserve">C_L1</t>
  </si>
  <si>
    <t xml:space="preserve">C_modelo</t>
  </si>
  <si>
    <t xml:space="preserve">dC</t>
  </si>
  <si>
    <t xml:space="preserve">IDI</t>
  </si>
  <si>
    <t xml:space="preserve">NRI_continuo</t>
  </si>
  <si>
    <t xml:space="preserve">L1 -&gt; L1+L3_DaTSCAN</t>
  </si>
  <si>
    <t xml:space="preserve">L1 -&gt; L1+L4_LCR</t>
  </si>
  <si>
    <t xml:space="preserve">L1 -&gt; L5_combinado</t>
  </si>
  <si>
    <t xml:space="preserve">Benchmark vs modelos publicados</t>
  </si>
  <si>
    <t xml:space="preserve">C-index na MESMA coorte. Nosso L1 supera os conjuntos clínicos publicados.</t>
  </si>
  <si>
    <t xml:space="preserve">Modelo</t>
  </si>
  <si>
    <t xml:space="preserve">Martinez-C (AAO&lt;=50 + ansiedade)</t>
  </si>
  <si>
    <t xml:space="preserve">Loo (axial/freezing/rigidez/tremor/peso/AAO)</t>
  </si>
  <si>
    <t xml:space="preserve">Nosso L1 (clinico)</t>
  </si>
  <si>
    <t xml:space="preserve">Responsividade à levodopa (achado novo, landmark)</t>
  </si>
  <si>
    <t xml:space="preserve">Altamente responsivo (&gt;50%) → maior risco. p&lt;0,05 destacado.</t>
  </si>
  <si>
    <t xml:space="preserve">preditor</t>
  </si>
  <si>
    <t xml:space="preserve">responsividade (% por DP)</t>
  </si>
  <si>
    <t xml:space="preserve">altamente responsivo &gt;50%</t>
  </si>
  <si>
    <t xml:space="preserve">Genética (coorte testada/enriquecida)</t>
  </si>
  <si>
    <t xml:space="preserve">LRRK2/GBA não significativos no subgrupo (subpotente). Bruto e ajustado por idade/sexo.</t>
  </si>
  <si>
    <t xml:space="preserve">variante</t>
  </si>
  <si>
    <t xml:space="preserve">HR_bruto</t>
  </si>
  <si>
    <t xml:space="preserve">p_bruto</t>
  </si>
  <si>
    <t xml:space="preserve">HR_ajust(idade,sexo)</t>
  </si>
  <si>
    <t xml:space="preserve">p_ajust</t>
  </si>
  <si>
    <t xml:space="preserve">lrrk2_carrier</t>
  </si>
  <si>
    <t xml:space="preserve">gba_carrier</t>
  </si>
  <si>
    <t xml:space="preserve">Validação (números HONESTOS)</t>
  </si>
  <si>
    <t xml:space="preserve">Otimismo, leave-one-site-out e calibração. É AQUI que está o desempenho real (~0,65).</t>
  </si>
  <si>
    <t xml:space="preserve">metrica</t>
  </si>
  <si>
    <t xml:space="preserve">valor</t>
  </si>
  <si>
    <t xml:space="preserve">C apparent</t>
  </si>
  <si>
    <t xml:space="preserve">C otimismo</t>
  </si>
  <si>
    <t xml:space="preserve">C CORRIGIDO (bootstrap)</t>
  </si>
  <si>
    <t xml:space="preserve">C leave-one-site-out</t>
  </si>
  <si>
    <t xml:space="preserve">calib slope (bootstrap)</t>
  </si>
  <si>
    <t xml:space="preserve">Calibração em 5 anos</t>
  </si>
  <si>
    <t xml:space="preserve">Predito vs observado por quintil de risco. Quanto mais próximos, melhor.</t>
  </si>
  <si>
    <t xml:space="preserve">quintil</t>
  </si>
  <si>
    <t xml:space="preserve">predito</t>
  </si>
  <si>
    <t xml:space="preserve">observado_KM</t>
  </si>
  <si>
    <t xml:space="preserve">Incidência cumulativa por horizonte</t>
  </si>
  <si>
    <t xml:space="preserve">% que desenvolveu discinesia até cada ano, com IC95% (origem t=0).</t>
  </si>
  <si>
    <t xml:space="preserve">Horizonte</t>
  </si>
  <si>
    <t xml:space="preserve">Incidência KM (%)</t>
  </si>
  <si>
    <t xml:space="preserve">IC95%</t>
  </si>
  <si>
    <t xml:space="preserve">3a</t>
  </si>
  <si>
    <t xml:space="preserve">12.2–18.2</t>
  </si>
  <si>
    <t xml:space="preserve">5a</t>
  </si>
  <si>
    <t xml:space="preserve">24.4–32.0</t>
  </si>
  <si>
    <t xml:space="preserve">7a</t>
  </si>
  <si>
    <t xml:space="preserve">37.1–45.8</t>
  </si>
  <si>
    <t xml:space="preserve">10a</t>
  </si>
  <si>
    <t xml:space="preserve">51.9–62.0</t>
  </si>
  <si>
    <t xml:space="preserve">Table 1 — características da coorte</t>
  </si>
  <si>
    <t xml:space="preserve">Por status de evento; median[IQR] / n(%); p&lt;0,05 destacado.</t>
  </si>
  <si>
    <t xml:space="preserve">Variável</t>
  </si>
  <si>
    <t xml:space="preserve">Geral (N=1447)</t>
  </si>
  <si>
    <t xml:space="preserve">Sem evento (n=1144)</t>
  </si>
  <si>
    <t xml:space="preserve">Com evento (n=303)</t>
  </si>
  <si>
    <t xml:space="preserve">% miss</t>
  </si>
  <si>
    <t xml:space="preserve">ageonset</t>
  </si>
  <si>
    <t xml:space="preserve">62.0 [54.8–68.0]</t>
  </si>
  <si>
    <t xml:space="preserve">62.6 [55.9–68.6]</t>
  </si>
  <si>
    <t xml:space="preserve">59.5 [50.0–64.7]</t>
  </si>
  <si>
    <t xml:space="preserve">duration_yrs</t>
  </si>
  <si>
    <t xml:space="preserve">0.5 [0.3–1.0]</t>
  </si>
  <si>
    <t xml:space="preserve">0.6 [0.3–1.1]</t>
  </si>
  <si>
    <t xml:space="preserve">0.4 [0.2–0.9]</t>
  </si>
  <si>
    <t xml:space="preserve">BMI</t>
  </si>
  <si>
    <t xml:space="preserve">26.2 [23.8–29.4]</t>
  </si>
  <si>
    <t xml:space="preserve">26.2 [23.8–29.5]</t>
  </si>
  <si>
    <t xml:space="preserve">26.1 [23.8–29.1]</t>
  </si>
  <si>
    <t xml:space="preserve">updrs1_score</t>
  </si>
  <si>
    <t xml:space="preserve">7.0 [4.0–10.0]</t>
  </si>
  <si>
    <t xml:space="preserve">7.0 [4.0–11.0]</t>
  </si>
  <si>
    <t xml:space="preserve">updrs2_score</t>
  </si>
  <si>
    <t xml:space="preserve">8.0 [5.0–11.0]</t>
  </si>
  <si>
    <t xml:space="preserve">8.0 [6.0–13.0]</t>
  </si>
  <si>
    <t xml:space="preserve">updrs3_score</t>
  </si>
  <si>
    <t xml:space="preserve">25.0 [18.0–34.0]</t>
  </si>
  <si>
    <t xml:space="preserve">24.0 [17.0–33.0]</t>
  </si>
  <si>
    <t xml:space="preserve">29.0 [20.2–37.8]</t>
  </si>
  <si>
    <t xml:space="preserve">comp_axial</t>
  </si>
  <si>
    <t xml:space="preserve">4.0 [2.0–6.0]</t>
  </si>
  <si>
    <t xml:space="preserve">comp_tremor</t>
  </si>
  <si>
    <t xml:space="preserve">5.0 [2.0–9.0]</t>
  </si>
  <si>
    <t xml:space="preserve">5.0 [2.0–10.0]</t>
  </si>
  <si>
    <t xml:space="preserve">comp_marcha_pi</t>
  </si>
  <si>
    <t xml:space="preserve">3.0 [1.0–4.0]</t>
  </si>
  <si>
    <t xml:space="preserve">3.0 [2.0–4.0]</t>
  </si>
  <si>
    <t xml:space="preserve">comp_bradicinesia</t>
  </si>
  <si>
    <t xml:space="preserve">12.0 [7.0–17.0]</t>
  </si>
  <si>
    <t xml:space="preserve">11.0 [7.0–17.0]</t>
  </si>
  <si>
    <t xml:space="preserve">13.0 [9.0–18.0]</t>
  </si>
  <si>
    <t xml:space="preserve">td_pigd_ratio</t>
  </si>
  <si>
    <t xml:space="preserve">1.4 [0.6–2.7]</t>
  </si>
  <si>
    <t xml:space="preserve">1.4 [0.7–2.7]</t>
  </si>
  <si>
    <t xml:space="preserve">1.4 [0.5–2.4]</t>
  </si>
  <si>
    <t xml:space="preserve">moca</t>
  </si>
  <si>
    <t xml:space="preserve">27.0 [25.0–29.0]</t>
  </si>
  <si>
    <t xml:space="preserve">28.0 [26.0–29.0]</t>
  </si>
  <si>
    <t xml:space="preserve">stai</t>
  </si>
  <si>
    <t xml:space="preserve">61.0 [50.0–76.0]</t>
  </si>
  <si>
    <t xml:space="preserve">61.0 [50.0–76.5]</t>
  </si>
  <si>
    <t xml:space="preserve">63.0 [52.0–75.5]</t>
  </si>
  <si>
    <t xml:space="preserve">upsit</t>
  </si>
  <si>
    <t xml:space="preserve">22.0 [16.0–28.0]</t>
  </si>
  <si>
    <t xml:space="preserve">22.0 [15.0–28.0]</t>
  </si>
  <si>
    <t xml:space="preserve">22.0 [16.0–29.8]</t>
  </si>
  <si>
    <t xml:space="preserve">datscan_putamen_min</t>
  </si>
  <si>
    <t xml:space="preserve">0.5 [0.4–0.7]</t>
  </si>
  <si>
    <t xml:space="preserve">0.5 [0.4–0.6]</t>
  </si>
  <si>
    <t xml:space="preserve">datscan_putamen_asym</t>
  </si>
  <si>
    <t xml:space="preserve">0.2 [0.1–0.3]</t>
  </si>
  <si>
    <t xml:space="preserve">abeta</t>
  </si>
  <si>
    <t xml:space="preserve">777.5 [578.2–1040.8]</t>
  </si>
  <si>
    <t xml:space="preserve">782.2 [588.4–1038.5]</t>
  </si>
  <si>
    <t xml:space="preserve">765.6 [547.7–1051.0]</t>
  </si>
  <si>
    <t xml:space="preserve">ptau</t>
  </si>
  <si>
    <t xml:space="preserve">13.3 [10.5–17.1]</t>
  </si>
  <si>
    <t xml:space="preserve">13.4 [10.9–17.6]</t>
  </si>
  <si>
    <t xml:space="preserve">12.8 [9.7–15.8]</t>
  </si>
  <si>
    <t xml:space="preserve">resp</t>
  </si>
  <si>
    <t xml:space="preserve">28.2 [14.3–42.3]</t>
  </si>
  <si>
    <t xml:space="preserve">27.8 [14.7–41.2]</t>
  </si>
  <si>
    <t xml:space="preserve">29.2 [12.6–44.3]</t>
  </si>
  <si>
    <t xml:space="preserve">SEX (feminino=0)</t>
  </si>
  <si>
    <t xml:space="preserve">394 (35%)</t>
  </si>
  <si>
    <t xml:space="preserve">303 (33%)</t>
  </si>
  <si>
    <t xml:space="preserve">91 (45%)</t>
  </si>
  <si>
    <t xml:space="preserve">is_pigd (PIGD=1)</t>
  </si>
  <si>
    <t xml:space="preserve">290 (29%)</t>
  </si>
  <si>
    <t xml:space="preserve">228 (28%)</t>
  </si>
  <si>
    <t xml:space="preserve">62 (32%)</t>
  </si>
  <si>
    <t xml:space="preserve">LRRK2+</t>
  </si>
  <si>
    <t xml:space="preserve">188 (13%)</t>
  </si>
  <si>
    <t xml:space="preserve">111 (10%)</t>
  </si>
  <si>
    <t xml:space="preserve">77 (25%)</t>
  </si>
  <si>
    <t xml:space="preserve">GBA+</t>
  </si>
  <si>
    <t xml:space="preserve">93 (6%)</t>
  </si>
  <si>
    <t xml:space="preserve">53 (5%)</t>
  </si>
  <si>
    <t xml:space="preserve">40 (13%)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</si>
</sst>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3"/>
    </row>
    <row r="4" customFormat="false" ht="15" hidden="false" customHeight="false" outlineLevel="0" collapsed="false">
      <c r="A4" s="2" t="s">
        <v>1</v>
      </c>
      <c r="B4" s="3"/>
    </row>
    <row r="5" customFormat="false" ht="15" hidden="false" customHeight="false" outlineLevel="0" collapsed="false">
      <c r="A5" s="2"/>
      <c r="B5" s="3"/>
    </row>
    <row r="6" customFormat="false" ht="15" hidden="false" customHeight="false" outlineLevel="0" collapsed="false">
      <c r="A6" s="4" t="s">
        <v>2</v>
      </c>
      <c r="B6" s="5" t="s">
        <v>3</v>
      </c>
    </row>
    <row r="7" customFormat="false" ht="23.85" hidden="false" customHeight="false" outlineLevel="0" collapsed="false">
      <c r="A7" s="2" t="s">
        <v>4</v>
      </c>
      <c r="B7" s="3" t="s">
        <v>5</v>
      </c>
    </row>
    <row r="8" customFormat="false" ht="23.85" hidden="false" customHeight="false" outlineLevel="0" collapsed="false">
      <c r="A8" s="2" t="s">
        <v>6</v>
      </c>
      <c r="B8" s="3" t="s">
        <v>7</v>
      </c>
    </row>
    <row r="9" customFormat="false" ht="23.85" hidden="false" customHeight="false" outlineLevel="0" collapsed="false">
      <c r="A9" s="2" t="s">
        <v>8</v>
      </c>
      <c r="B9" s="3" t="s">
        <v>9</v>
      </c>
    </row>
    <row r="10" customFormat="false" ht="15" hidden="false" customHeight="false" outlineLevel="0" collapsed="false">
      <c r="A10" s="2" t="s">
        <v>10</v>
      </c>
      <c r="B10" s="3" t="s">
        <v>11</v>
      </c>
    </row>
    <row r="11" customFormat="false" ht="15" hidden="false" customHeight="false" outlineLevel="0" collapsed="false">
      <c r="A11" s="2" t="s">
        <v>12</v>
      </c>
      <c r="B11" s="3" t="s">
        <v>13</v>
      </c>
    </row>
    <row r="12" customFormat="false" ht="23.85" hidden="false" customHeight="false" outlineLevel="0" collapsed="false">
      <c r="A12" s="2" t="s">
        <v>14</v>
      </c>
      <c r="B12" s="3" t="s">
        <v>15</v>
      </c>
    </row>
    <row r="13" customFormat="false" ht="15" hidden="false" customHeight="false" outlineLevel="0" collapsed="false">
      <c r="A13" s="2" t="s">
        <v>16</v>
      </c>
      <c r="B13" s="3" t="s">
        <v>17</v>
      </c>
    </row>
    <row r="14" customFormat="false" ht="15" hidden="false" customHeight="false" outlineLevel="0" collapsed="false">
      <c r="A14" s="2" t="s">
        <v>18</v>
      </c>
      <c r="B14" s="3" t="s">
        <v>19</v>
      </c>
    </row>
    <row r="15" customFormat="false" ht="15" hidden="false" customHeight="false" outlineLevel="0" collapsed="false">
      <c r="A15" s="6" t="s">
        <v>20</v>
      </c>
      <c r="B15" s="3" t="s">
        <v>21</v>
      </c>
    </row>
    <row r="16" customFormat="false" ht="15" hidden="false" customHeight="false" outlineLevel="0" collapsed="false">
      <c r="A16" s="2" t="s">
        <v>22</v>
      </c>
      <c r="B16" s="3" t="s">
        <v>23</v>
      </c>
    </row>
    <row r="17" customFormat="false" ht="15" hidden="false" customHeight="false" outlineLevel="0" collapsed="false">
      <c r="A17" s="2" t="s">
        <v>24</v>
      </c>
      <c r="B17" s="3" t="s">
        <v>25</v>
      </c>
    </row>
    <row r="18" customFormat="false" ht="15" hidden="false" customHeight="false" outlineLevel="0" collapsed="false">
      <c r="A18" s="2" t="s">
        <v>26</v>
      </c>
      <c r="B18" s="3" t="s">
        <v>27</v>
      </c>
    </row>
    <row r="19" customFormat="false" ht="15" hidden="false" customHeight="false" outlineLevel="0" collapsed="false">
      <c r="A19" s="2"/>
      <c r="B19" s="3"/>
    </row>
    <row r="20" customFormat="false" ht="15" hidden="false" customHeight="false" outlineLevel="0" collapsed="false">
      <c r="A20" s="6" t="s">
        <v>28</v>
      </c>
      <c r="B20" s="3" t="s">
        <v>29</v>
      </c>
    </row>
    <row r="21" customFormat="false" ht="15" hidden="false" customHeight="false" outlineLevel="0" collapsed="false">
      <c r="A21" s="6" t="s">
        <v>30</v>
      </c>
      <c r="B21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7"/>
  </cols>
  <sheetData>
    <row r="1" customFormat="false" ht="16.15" hidden="false" customHeight="false" outlineLevel="0" collapsed="false">
      <c r="A1" s="7" t="s">
        <v>32</v>
      </c>
    </row>
    <row r="2" customFormat="false" ht="15" hidden="false" customHeight="false" outlineLevel="0" collapsed="false">
      <c r="A2" s="8" t="s">
        <v>33</v>
      </c>
    </row>
    <row r="4" customFormat="false" ht="15" hidden="false" customHeight="false" outlineLevel="0" collapsed="false">
      <c r="A4" s="9" t="s">
        <v>34</v>
      </c>
      <c r="B4" s="9" t="s">
        <v>35</v>
      </c>
    </row>
    <row r="5" customFormat="false" ht="15" hidden="false" customHeight="false" outlineLevel="0" collapsed="false">
      <c r="A5" s="10" t="s">
        <v>36</v>
      </c>
      <c r="B5" s="10" t="s">
        <v>37</v>
      </c>
    </row>
    <row r="6" customFormat="false" ht="15" hidden="false" customHeight="false" outlineLevel="0" collapsed="false">
      <c r="A6" s="10" t="s">
        <v>38</v>
      </c>
      <c r="B6" s="10" t="s">
        <v>39</v>
      </c>
    </row>
    <row r="7" customFormat="false" ht="15" hidden="false" customHeight="false" outlineLevel="0" collapsed="false">
      <c r="A7" s="10" t="s">
        <v>40</v>
      </c>
      <c r="B7" s="10" t="s">
        <v>41</v>
      </c>
    </row>
    <row r="8" customFormat="false" ht="15" hidden="false" customHeight="false" outlineLevel="0" collapsed="false">
      <c r="A8" s="10" t="s">
        <v>42</v>
      </c>
      <c r="B8" s="10" t="s">
        <v>43</v>
      </c>
    </row>
    <row r="9" customFormat="false" ht="15" hidden="false" customHeight="false" outlineLevel="0" collapsed="false">
      <c r="A9" s="10" t="s">
        <v>44</v>
      </c>
      <c r="B9" s="10" t="s">
        <v>45</v>
      </c>
    </row>
    <row r="10" customFormat="false" ht="15" hidden="false" customHeight="false" outlineLevel="0" collapsed="false">
      <c r="A10" s="10" t="s">
        <v>46</v>
      </c>
      <c r="B10" s="10" t="s">
        <v>47</v>
      </c>
    </row>
    <row r="11" customFormat="false" ht="15" hidden="false" customHeight="false" outlineLevel="0" collapsed="false">
      <c r="A11" s="10" t="s">
        <v>48</v>
      </c>
      <c r="B11" s="10" t="s">
        <v>49</v>
      </c>
    </row>
    <row r="12" customFormat="false" ht="15" hidden="false" customHeight="false" outlineLevel="0" collapsed="false">
      <c r="A12" s="10" t="s">
        <v>50</v>
      </c>
      <c r="B12" s="10" t="s">
        <v>51</v>
      </c>
    </row>
    <row r="13" customFormat="false" ht="15" hidden="false" customHeight="false" outlineLevel="0" collapsed="false">
      <c r="A13" s="10" t="s">
        <v>52</v>
      </c>
      <c r="B13" s="10" t="s">
        <v>53</v>
      </c>
    </row>
    <row r="14" customFormat="false" ht="15" hidden="false" customHeight="false" outlineLevel="0" collapsed="false">
      <c r="A14" s="10" t="s">
        <v>54</v>
      </c>
      <c r="B14" s="1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0"/>
    <col collapsed="false" customWidth="true" hidden="false" outlineLevel="0" max="7" min="7" style="0" width="24"/>
    <col collapsed="false" customWidth="true" hidden="false" outlineLevel="0" max="9" min="8" style="0" width="10"/>
    <col collapsed="false" customWidth="true" hidden="false" outlineLevel="0" max="10" min="10" style="0" width="23"/>
  </cols>
  <sheetData>
    <row r="1" customFormat="false" ht="16.15" hidden="false" customHeight="false" outlineLevel="0" collapsed="false">
      <c r="A1" s="7" t="s">
        <v>56</v>
      </c>
    </row>
    <row r="2" customFormat="false" ht="15" hidden="false" customHeight="false" outlineLevel="0" collapsed="false">
      <c r="A2" s="8" t="s">
        <v>57</v>
      </c>
    </row>
    <row r="4" customFormat="false" ht="15" hidden="false" customHeight="false" outlineLevel="0" collapsed="false">
      <c r="A4" s="9" t="s">
        <v>58</v>
      </c>
      <c r="B4" s="9" t="s">
        <v>59</v>
      </c>
      <c r="C4" s="9" t="s">
        <v>60</v>
      </c>
      <c r="D4" s="9" t="s">
        <v>61</v>
      </c>
      <c r="E4" s="9" t="s">
        <v>62</v>
      </c>
      <c r="F4" s="9" t="s">
        <v>63</v>
      </c>
      <c r="G4" s="9" t="s">
        <v>64</v>
      </c>
      <c r="H4" s="9" t="s">
        <v>14</v>
      </c>
      <c r="I4" s="9" t="s">
        <v>22</v>
      </c>
      <c r="J4" s="9" t="s">
        <v>6</v>
      </c>
      <c r="K4" s="11" t="s">
        <v>65</v>
      </c>
    </row>
    <row r="5" customFormat="false" ht="15" hidden="false" customHeight="false" outlineLevel="0" collapsed="false">
      <c r="A5" s="10" t="s">
        <v>66</v>
      </c>
      <c r="B5" s="10" t="n">
        <v>1114</v>
      </c>
      <c r="C5" s="10" t="n">
        <v>206</v>
      </c>
      <c r="D5" s="10" t="n">
        <v>1.411</v>
      </c>
      <c r="E5" s="10" t="n">
        <v>1.238</v>
      </c>
      <c r="F5" s="10" t="n">
        <v>1.608</v>
      </c>
      <c r="G5" s="10" t="n">
        <v>2.55948844624962E-007</v>
      </c>
      <c r="H5" s="10" t="n">
        <v>0.592</v>
      </c>
      <c r="I5" s="10" t="n">
        <v>0.968</v>
      </c>
      <c r="J5" s="10" t="n">
        <v>7.16656764949895E-006</v>
      </c>
      <c r="K5" s="12" t="str">
        <f aca="false">IF(N(J5)&lt;0.05,"SIM","nao")</f>
        <v>SIM</v>
      </c>
    </row>
    <row r="6" customFormat="false" ht="15" hidden="false" customHeight="false" outlineLevel="0" collapsed="false">
      <c r="A6" s="10" t="s">
        <v>67</v>
      </c>
      <c r="B6" s="10" t="n">
        <v>1090</v>
      </c>
      <c r="C6" s="10" t="n">
        <v>193</v>
      </c>
      <c r="D6" s="10" t="n">
        <v>2.327</v>
      </c>
      <c r="E6" s="10" t="n">
        <v>1.588</v>
      </c>
      <c r="F6" s="10" t="n">
        <v>3.41</v>
      </c>
      <c r="G6" s="10" t="n">
        <v>1.47455727514287E-005</v>
      </c>
      <c r="H6" s="10" t="n">
        <v>0.597</v>
      </c>
      <c r="I6" s="10" t="n">
        <v>0.793</v>
      </c>
      <c r="J6" s="10" t="n">
        <v>0.00020643801852</v>
      </c>
      <c r="K6" s="12" t="str">
        <f aca="false">IF(N(J6)&lt;0.05,"SIM","nao")</f>
        <v>SIM</v>
      </c>
    </row>
    <row r="7" customFormat="false" ht="15" hidden="false" customHeight="false" outlineLevel="0" collapsed="false">
      <c r="A7" s="10" t="s">
        <v>68</v>
      </c>
      <c r="B7" s="10" t="n">
        <v>1110</v>
      </c>
      <c r="C7" s="10" t="n">
        <v>202</v>
      </c>
      <c r="D7" s="10" t="n">
        <v>0.595</v>
      </c>
      <c r="E7" s="10" t="n">
        <v>0.45</v>
      </c>
      <c r="F7" s="10" t="n">
        <v>0.786</v>
      </c>
      <c r="G7" s="10" t="n">
        <v>0.0002534707603653</v>
      </c>
      <c r="H7" s="10" t="n">
        <v>0.583</v>
      </c>
      <c r="I7" s="10" t="n">
        <v>0.185</v>
      </c>
      <c r="J7" s="10" t="n">
        <v>0.0023193597355826</v>
      </c>
      <c r="K7" s="12" t="str">
        <f aca="false">IF(N(J7)&lt;0.05,"SIM","nao")</f>
        <v>SIM</v>
      </c>
    </row>
    <row r="8" customFormat="false" ht="15" hidden="false" customHeight="false" outlineLevel="0" collapsed="false">
      <c r="A8" s="10" t="s">
        <v>69</v>
      </c>
      <c r="B8" s="10" t="n">
        <v>989</v>
      </c>
      <c r="C8" s="10" t="n">
        <v>196</v>
      </c>
      <c r="D8" s="10" t="n">
        <v>0.78</v>
      </c>
      <c r="E8" s="10" t="n">
        <v>0.681</v>
      </c>
      <c r="F8" s="10" t="n">
        <v>0.893</v>
      </c>
      <c r="G8" s="10" t="n">
        <v>0.0003313371050832</v>
      </c>
      <c r="H8" s="10" t="n">
        <v>0.591</v>
      </c>
      <c r="I8" s="10" t="n">
        <v>0.145</v>
      </c>
      <c r="J8" s="10" t="n">
        <v>0.0023193597355826</v>
      </c>
      <c r="K8" s="12" t="str">
        <f aca="false">IF(N(J8)&lt;0.05,"SIM","nao")</f>
        <v>SIM</v>
      </c>
    </row>
    <row r="9" customFormat="false" ht="15" hidden="false" customHeight="false" outlineLevel="0" collapsed="false">
      <c r="A9" s="10" t="s">
        <v>70</v>
      </c>
      <c r="B9" s="10" t="n">
        <v>1105</v>
      </c>
      <c r="C9" s="10" t="n">
        <v>202</v>
      </c>
      <c r="D9" s="10" t="n">
        <v>1.265</v>
      </c>
      <c r="E9" s="10" t="n">
        <v>1.1</v>
      </c>
      <c r="F9" s="10" t="n">
        <v>1.454</v>
      </c>
      <c r="G9" s="10" t="n">
        <v>0.0009747963416606</v>
      </c>
      <c r="H9" s="10" t="n">
        <v>0.567</v>
      </c>
      <c r="I9" s="10" t="n">
        <v>0.819</v>
      </c>
      <c r="J9" s="10" t="n">
        <v>0.0054588595132996</v>
      </c>
      <c r="K9" s="12" t="str">
        <f aca="false">IF(N(J9)&lt;0.05,"SIM","nao")</f>
        <v>SIM</v>
      </c>
    </row>
    <row r="10" customFormat="false" ht="15" hidden="false" customHeight="false" outlineLevel="0" collapsed="false">
      <c r="A10" s="10" t="s">
        <v>71</v>
      </c>
      <c r="B10" s="10" t="n">
        <v>1113</v>
      </c>
      <c r="C10" s="10" t="n">
        <v>206</v>
      </c>
      <c r="D10" s="10" t="n">
        <v>1.243</v>
      </c>
      <c r="E10" s="10" t="n">
        <v>1.087</v>
      </c>
      <c r="F10" s="10" t="n">
        <v>1.422</v>
      </c>
      <c r="G10" s="10" t="n">
        <v>0.0015241404500232</v>
      </c>
      <c r="H10" s="10" t="n">
        <v>0.56</v>
      </c>
      <c r="I10" s="10" t="n">
        <v>0.968</v>
      </c>
      <c r="J10" s="10" t="n">
        <v>0.0071126554334417</v>
      </c>
      <c r="K10" s="12" t="str">
        <f aca="false">IF(N(J10)&lt;0.05,"SIM","nao")</f>
        <v>SIM</v>
      </c>
    </row>
    <row r="11" customFormat="false" ht="15" hidden="false" customHeight="false" outlineLevel="0" collapsed="false">
      <c r="A11" s="10" t="s">
        <v>72</v>
      </c>
      <c r="B11" s="10" t="n">
        <v>1091</v>
      </c>
      <c r="C11" s="10" t="n">
        <v>201</v>
      </c>
      <c r="D11" s="10" t="n">
        <v>1.254</v>
      </c>
      <c r="E11" s="10" t="n">
        <v>1.087</v>
      </c>
      <c r="F11" s="10" t="n">
        <v>1.447</v>
      </c>
      <c r="G11" s="10" t="n">
        <v>0.0019177144284227</v>
      </c>
      <c r="H11" s="10" t="n">
        <v>0.561</v>
      </c>
      <c r="I11" s="10" t="n">
        <v>0.671</v>
      </c>
      <c r="J11" s="10" t="n">
        <v>0.0076708577136908</v>
      </c>
      <c r="K11" s="12" t="str">
        <f aca="false">IF(N(J11)&lt;0.05,"SIM","nao")</f>
        <v>SIM</v>
      </c>
    </row>
    <row r="12" customFormat="false" ht="15" hidden="false" customHeight="false" outlineLevel="0" collapsed="false">
      <c r="A12" s="10" t="s">
        <v>73</v>
      </c>
      <c r="B12" s="10" t="n">
        <v>1112</v>
      </c>
      <c r="C12" s="10" t="n">
        <v>205</v>
      </c>
      <c r="D12" s="10" t="n">
        <v>1.213</v>
      </c>
      <c r="E12" s="10" t="n">
        <v>1.066</v>
      </c>
      <c r="F12" s="10" t="n">
        <v>1.38</v>
      </c>
      <c r="G12" s="10" t="n">
        <v>0.0033479762590494</v>
      </c>
      <c r="H12" s="10" t="n">
        <v>0.574</v>
      </c>
      <c r="I12" s="10" t="n">
        <v>0.252</v>
      </c>
      <c r="J12" s="10" t="n">
        <v>0.0111236666403439</v>
      </c>
      <c r="K12" s="12" t="str">
        <f aca="false">IF(N(J12)&lt;0.05,"SIM","nao")</f>
        <v>SIM</v>
      </c>
    </row>
    <row r="13" customFormat="false" ht="15" hidden="false" customHeight="false" outlineLevel="0" collapsed="false">
      <c r="A13" s="10" t="s">
        <v>74</v>
      </c>
      <c r="B13" s="10" t="n">
        <v>470</v>
      </c>
      <c r="C13" s="10" t="n">
        <v>164</v>
      </c>
      <c r="D13" s="10" t="n">
        <v>0.763</v>
      </c>
      <c r="E13" s="10" t="n">
        <v>0.636</v>
      </c>
      <c r="F13" s="10" t="n">
        <v>0.915</v>
      </c>
      <c r="G13" s="10" t="n">
        <v>0.0035754642772534</v>
      </c>
      <c r="H13" s="10" t="n">
        <v>0.583</v>
      </c>
      <c r="I13" s="10" t="n">
        <v>0.169</v>
      </c>
      <c r="J13" s="10" t="n">
        <v>0.0111236666403439</v>
      </c>
      <c r="K13" s="12" t="str">
        <f aca="false">IF(N(J13)&lt;0.05,"SIM","nao")</f>
        <v>SIM</v>
      </c>
    </row>
    <row r="14" customFormat="false" ht="15" hidden="false" customHeight="false" outlineLevel="0" collapsed="false">
      <c r="A14" s="10" t="s">
        <v>75</v>
      </c>
      <c r="B14" s="10" t="n">
        <v>956</v>
      </c>
      <c r="C14" s="10" t="n">
        <v>184</v>
      </c>
      <c r="D14" s="10" t="n">
        <v>0.8</v>
      </c>
      <c r="E14" s="10" t="n">
        <v>0.681</v>
      </c>
      <c r="F14" s="10" t="n">
        <v>0.94</v>
      </c>
      <c r="G14" s="10" t="n">
        <v>0.0065085452175006</v>
      </c>
      <c r="H14" s="10" t="n">
        <v>0.574</v>
      </c>
      <c r="I14" s="10" t="n">
        <v>0.204</v>
      </c>
      <c r="J14" s="10" t="n">
        <v>0.0182239266090017</v>
      </c>
      <c r="K14" s="12" t="str">
        <f aca="false">IF(N(J14)&lt;0.05,"SIM","nao")</f>
        <v>SIM</v>
      </c>
    </row>
    <row r="15" customFormat="false" ht="15" hidden="false" customHeight="false" outlineLevel="0" collapsed="false">
      <c r="A15" s="10" t="s">
        <v>76</v>
      </c>
      <c r="B15" s="10" t="n">
        <v>443</v>
      </c>
      <c r="C15" s="10" t="n">
        <v>150</v>
      </c>
      <c r="D15" s="10" t="n">
        <v>0.799</v>
      </c>
      <c r="E15" s="10" t="n">
        <v>0.661</v>
      </c>
      <c r="F15" s="10" t="n">
        <v>0.965</v>
      </c>
      <c r="G15" s="10" t="n">
        <v>0.0196997809795963</v>
      </c>
      <c r="H15" s="10" t="n">
        <v>0.579</v>
      </c>
      <c r="I15" s="10" t="n">
        <v>0.078</v>
      </c>
      <c r="J15" s="10" t="n">
        <v>0.0501448970389725</v>
      </c>
      <c r="K15" s="12" t="str">
        <f aca="false">IF(N(J15)&lt;0.05,"SIM","nao")</f>
        <v>nao</v>
      </c>
    </row>
    <row r="16" customFormat="false" ht="15" hidden="false" customHeight="false" outlineLevel="0" collapsed="false">
      <c r="A16" s="10" t="s">
        <v>77</v>
      </c>
      <c r="B16" s="10" t="n">
        <v>1102</v>
      </c>
      <c r="C16" s="10" t="n">
        <v>200</v>
      </c>
      <c r="D16" s="10" t="n">
        <v>0.855</v>
      </c>
      <c r="E16" s="10" t="n">
        <v>0.741</v>
      </c>
      <c r="F16" s="10" t="n">
        <v>0.986</v>
      </c>
      <c r="G16" s="10" t="n">
        <v>0.0312513023122816</v>
      </c>
      <c r="H16" s="10" t="n">
        <v>0.57</v>
      </c>
      <c r="I16" s="10" t="n">
        <v>0.405</v>
      </c>
      <c r="J16" s="10" t="n">
        <v>0.0729197053953238</v>
      </c>
      <c r="K16" s="12" t="str">
        <f aca="false">IF(N(J16)&lt;0.05,"SIM","nao")</f>
        <v>nao</v>
      </c>
    </row>
    <row r="17" customFormat="false" ht="15" hidden="false" customHeight="false" outlineLevel="0" collapsed="false">
      <c r="A17" s="10" t="s">
        <v>78</v>
      </c>
      <c r="B17" s="10" t="n">
        <v>990</v>
      </c>
      <c r="C17" s="10" t="n">
        <v>190</v>
      </c>
      <c r="D17" s="10" t="n">
        <v>1.343</v>
      </c>
      <c r="E17" s="10" t="n">
        <v>0.99</v>
      </c>
      <c r="F17" s="10" t="n">
        <v>1.823</v>
      </c>
      <c r="G17" s="10" t="n">
        <v>0.0582141133208099</v>
      </c>
      <c r="H17" s="10" t="n">
        <v>0.546</v>
      </c>
      <c r="I17" s="10" t="n">
        <v>0.333</v>
      </c>
      <c r="J17" s="10" t="n">
        <v>0.125384244075591</v>
      </c>
      <c r="K17" s="12" t="str">
        <f aca="false">IF(N(J17)&lt;0.05,"SIM","nao")</f>
        <v>nao</v>
      </c>
    </row>
    <row r="18" customFormat="false" ht="15" hidden="false" customHeight="false" outlineLevel="0" collapsed="false">
      <c r="A18" s="10" t="s">
        <v>79</v>
      </c>
      <c r="B18" s="10" t="n">
        <v>1090</v>
      </c>
      <c r="C18" s="10" t="n">
        <v>193</v>
      </c>
      <c r="D18" s="10" t="n">
        <v>1.299</v>
      </c>
      <c r="E18" s="10" t="n">
        <v>0.965</v>
      </c>
      <c r="F18" s="10" t="n">
        <v>1.748</v>
      </c>
      <c r="G18" s="10" t="n">
        <v>0.0842785309008774</v>
      </c>
      <c r="H18" s="10" t="n">
        <v>0.536</v>
      </c>
      <c r="I18" s="10" t="n">
        <v>0.688</v>
      </c>
      <c r="J18" s="10" t="n">
        <v>0.168557061801755</v>
      </c>
      <c r="K18" s="12" t="str">
        <f aca="false">IF(N(J18)&lt;0.05,"SIM","nao")</f>
        <v>nao</v>
      </c>
    </row>
    <row r="19" customFormat="false" ht="15" hidden="false" customHeight="false" outlineLevel="0" collapsed="false">
      <c r="A19" s="10" t="s">
        <v>80</v>
      </c>
      <c r="B19" s="10" t="n">
        <v>451</v>
      </c>
      <c r="C19" s="10" t="n">
        <v>160</v>
      </c>
      <c r="D19" s="10" t="n">
        <v>0.881</v>
      </c>
      <c r="E19" s="10" t="n">
        <v>0.751</v>
      </c>
      <c r="F19" s="10" t="n">
        <v>1.032</v>
      </c>
      <c r="G19" s="10" t="n">
        <v>0.117088226288556</v>
      </c>
      <c r="H19" s="10" t="n">
        <v>0.543</v>
      </c>
      <c r="I19" s="10" t="n">
        <v>0.588</v>
      </c>
      <c r="J19" s="10" t="n">
        <v>0.218564689071971</v>
      </c>
      <c r="K19" s="12" t="str">
        <f aca="false">IF(N(J19)&lt;0.05,"SIM","nao")</f>
        <v>nao</v>
      </c>
    </row>
    <row r="20" customFormat="false" ht="15" hidden="false" customHeight="false" outlineLevel="0" collapsed="false">
      <c r="A20" s="10" t="s">
        <v>81</v>
      </c>
      <c r="B20" s="10" t="n">
        <v>971</v>
      </c>
      <c r="C20" s="10" t="n">
        <v>191</v>
      </c>
      <c r="D20" s="10" t="n">
        <v>0.891</v>
      </c>
      <c r="E20" s="10" t="n">
        <v>0.757</v>
      </c>
      <c r="F20" s="10" t="n">
        <v>1.048</v>
      </c>
      <c r="G20" s="10" t="n">
        <v>0.162333279579782</v>
      </c>
      <c r="H20" s="10" t="n">
        <v>0.557</v>
      </c>
      <c r="I20" s="10" t="n">
        <v>0.125</v>
      </c>
      <c r="J20" s="10" t="n">
        <v>0.284083239264619</v>
      </c>
      <c r="K20" s="12" t="str">
        <f aca="false">IF(N(J20)&lt;0.05,"SIM","nao")</f>
        <v>nao</v>
      </c>
    </row>
    <row r="21" customFormat="false" ht="15" hidden="false" customHeight="false" outlineLevel="0" collapsed="false">
      <c r="A21" s="10" t="s">
        <v>82</v>
      </c>
      <c r="B21" s="10" t="n">
        <v>1108</v>
      </c>
      <c r="C21" s="10" t="n">
        <v>202</v>
      </c>
      <c r="D21" s="10" t="n">
        <v>1.108</v>
      </c>
      <c r="E21" s="10" t="n">
        <v>0.95</v>
      </c>
      <c r="F21" s="10" t="n">
        <v>1.292</v>
      </c>
      <c r="G21" s="10" t="n">
        <v>0.191060385677737</v>
      </c>
      <c r="H21" s="10" t="n">
        <v>0.55</v>
      </c>
      <c r="I21" s="10" t="n">
        <v>0.185</v>
      </c>
      <c r="J21" s="10" t="n">
        <v>0.307518685208728</v>
      </c>
      <c r="K21" s="12" t="str">
        <f aca="false">IF(N(J21)&lt;0.05,"SIM","nao")</f>
        <v>nao</v>
      </c>
    </row>
    <row r="22" customFormat="false" ht="15" hidden="false" customHeight="false" outlineLevel="0" collapsed="false">
      <c r="A22" s="10" t="s">
        <v>83</v>
      </c>
      <c r="B22" s="10" t="n">
        <v>1105</v>
      </c>
      <c r="C22" s="10" t="n">
        <v>202</v>
      </c>
      <c r="D22" s="10" t="n">
        <v>1.093</v>
      </c>
      <c r="E22" s="10" t="n">
        <v>0.955</v>
      </c>
      <c r="F22" s="10" t="n">
        <v>1.251</v>
      </c>
      <c r="G22" s="10" t="n">
        <v>0.197690583348468</v>
      </c>
      <c r="H22" s="10" t="n">
        <v>0.554</v>
      </c>
      <c r="I22" s="10" t="n">
        <v>0.237</v>
      </c>
      <c r="J22" s="10" t="n">
        <v>0.307518685208728</v>
      </c>
      <c r="K22" s="12" t="str">
        <f aca="false">IF(N(J22)&lt;0.05,"SIM","nao")</f>
        <v>nao</v>
      </c>
    </row>
    <row r="23" customFormat="false" ht="15" hidden="false" customHeight="false" outlineLevel="0" collapsed="false">
      <c r="A23" s="10" t="s">
        <v>84</v>
      </c>
      <c r="B23" s="10" t="n">
        <v>1112</v>
      </c>
      <c r="C23" s="10" t="n">
        <v>205</v>
      </c>
      <c r="D23" s="10" t="n">
        <v>1.091</v>
      </c>
      <c r="E23" s="10" t="n">
        <v>0.948</v>
      </c>
      <c r="F23" s="10" t="n">
        <v>1.255</v>
      </c>
      <c r="G23" s="10" t="n">
        <v>0.22548631339026</v>
      </c>
      <c r="H23" s="10" t="n">
        <v>0.537</v>
      </c>
      <c r="I23" s="10" t="n">
        <v>0.42</v>
      </c>
      <c r="J23" s="10" t="n">
        <v>0.332295619733015</v>
      </c>
      <c r="K23" s="12" t="str">
        <f aca="false">IF(N(J23)&lt;0.05,"SIM","nao")</f>
        <v>nao</v>
      </c>
    </row>
    <row r="24" customFormat="false" ht="15" hidden="false" customHeight="false" outlineLevel="0" collapsed="false">
      <c r="A24" s="10" t="s">
        <v>85</v>
      </c>
      <c r="B24" s="10" t="n">
        <v>997</v>
      </c>
      <c r="C24" s="10" t="n">
        <v>197</v>
      </c>
      <c r="D24" s="10" t="n">
        <v>1.064</v>
      </c>
      <c r="E24" s="10" t="n">
        <v>0.944</v>
      </c>
      <c r="F24" s="10" t="n">
        <v>1.199</v>
      </c>
      <c r="G24" s="10" t="n">
        <v>0.311077291794755</v>
      </c>
      <c r="H24" s="10" t="n">
        <v>0.501</v>
      </c>
      <c r="I24" s="10" t="n">
        <v>0.715</v>
      </c>
      <c r="J24" s="10" t="n">
        <v>0.435508208512657</v>
      </c>
      <c r="K24" s="12" t="str">
        <f aca="false">IF(N(J24)&lt;0.05,"SIM","nao")</f>
        <v>nao</v>
      </c>
    </row>
    <row r="25" customFormat="false" ht="15" hidden="false" customHeight="false" outlineLevel="0" collapsed="false">
      <c r="A25" s="10" t="s">
        <v>86</v>
      </c>
      <c r="B25" s="10" t="n">
        <v>971</v>
      </c>
      <c r="C25" s="10" t="n">
        <v>191</v>
      </c>
      <c r="D25" s="10" t="n">
        <v>1.071</v>
      </c>
      <c r="E25" s="10" t="n">
        <v>0.928</v>
      </c>
      <c r="F25" s="10" t="n">
        <v>1.237</v>
      </c>
      <c r="G25" s="10" t="n">
        <v>0.346891592932272</v>
      </c>
      <c r="H25" s="10" t="n">
        <v>0.511</v>
      </c>
      <c r="I25" s="10" t="n">
        <v>0.312</v>
      </c>
      <c r="J25" s="10" t="n">
        <v>0.462522123909696</v>
      </c>
      <c r="K25" s="12" t="str">
        <f aca="false">IF(N(J25)&lt;0.05,"SIM","nao")</f>
        <v>nao</v>
      </c>
    </row>
    <row r="26" customFormat="false" ht="15" hidden="false" customHeight="false" outlineLevel="0" collapsed="false">
      <c r="A26" s="10" t="s">
        <v>87</v>
      </c>
      <c r="B26" s="10" t="n">
        <v>1084</v>
      </c>
      <c r="C26" s="10" t="n">
        <v>197</v>
      </c>
      <c r="D26" s="10" t="n">
        <v>1.068</v>
      </c>
      <c r="E26" s="10" t="n">
        <v>0.925</v>
      </c>
      <c r="F26" s="10" t="n">
        <v>1.232</v>
      </c>
      <c r="G26" s="10" t="n">
        <v>0.369139170136987</v>
      </c>
      <c r="H26" s="10" t="n">
        <v>0.536</v>
      </c>
      <c r="I26" s="10" t="n">
        <v>0.073</v>
      </c>
      <c r="J26" s="10" t="n">
        <v>0.469813489265256</v>
      </c>
      <c r="K26" s="12" t="str">
        <f aca="false">IF(N(J26)&lt;0.05,"SIM","nao")</f>
        <v>nao</v>
      </c>
    </row>
    <row r="27" customFormat="false" ht="15" hidden="false" customHeight="false" outlineLevel="0" collapsed="false">
      <c r="A27" s="10" t="s">
        <v>88</v>
      </c>
      <c r="B27" s="10" t="n">
        <v>1114</v>
      </c>
      <c r="C27" s="10" t="n">
        <v>206</v>
      </c>
      <c r="D27" s="10" t="n">
        <v>1.039</v>
      </c>
      <c r="E27" s="10" t="n">
        <v>0.906</v>
      </c>
      <c r="F27" s="10" t="n">
        <v>1.19</v>
      </c>
      <c r="G27" s="10" t="n">
        <v>0.585478345744389</v>
      </c>
      <c r="H27" s="10" t="n">
        <v>0.504</v>
      </c>
      <c r="I27" s="10" t="n">
        <v>0.426</v>
      </c>
      <c r="J27" s="10" t="n">
        <v>0.712756246993169</v>
      </c>
      <c r="K27" s="12" t="str">
        <f aca="false">IF(N(J27)&lt;0.05,"SIM","nao")</f>
        <v>nao</v>
      </c>
    </row>
    <row r="28" customFormat="false" ht="15" hidden="false" customHeight="false" outlineLevel="0" collapsed="false">
      <c r="A28" s="10" t="s">
        <v>89</v>
      </c>
      <c r="B28" s="10" t="n">
        <v>233</v>
      </c>
      <c r="C28" s="10" t="n">
        <v>101</v>
      </c>
      <c r="D28" s="10" t="n">
        <v>1.035</v>
      </c>
      <c r="E28" s="10" t="n">
        <v>0.846</v>
      </c>
      <c r="F28" s="10" t="n">
        <v>1.266</v>
      </c>
      <c r="G28" s="10" t="n">
        <v>0.738183430672287</v>
      </c>
      <c r="H28" s="10" t="n">
        <v>0.451</v>
      </c>
      <c r="I28" s="10" t="n">
        <v>0.172</v>
      </c>
      <c r="J28" s="10" t="n">
        <v>0.861214002451002</v>
      </c>
      <c r="K28" s="12" t="str">
        <f aca="false">IF(N(J28)&lt;0.05,"SIM","nao")</f>
        <v>nao</v>
      </c>
    </row>
    <row r="29" customFormat="false" ht="15" hidden="false" customHeight="false" outlineLevel="0" collapsed="false">
      <c r="A29" s="10" t="s">
        <v>90</v>
      </c>
      <c r="B29" s="10" t="n">
        <v>1113</v>
      </c>
      <c r="C29" s="10" t="n">
        <v>206</v>
      </c>
      <c r="D29" s="10" t="n">
        <v>0.984</v>
      </c>
      <c r="E29" s="10" t="n">
        <v>0.856</v>
      </c>
      <c r="F29" s="10" t="n">
        <v>1.13</v>
      </c>
      <c r="G29" s="10" t="n">
        <v>0.816058447421171</v>
      </c>
      <c r="H29" s="10" t="n">
        <v>0.511</v>
      </c>
      <c r="I29" s="10" t="n">
        <v>0.271</v>
      </c>
      <c r="J29" s="10" t="n">
        <v>0.913985461111711</v>
      </c>
      <c r="K29" s="12" t="str">
        <f aca="false">IF(N(J29)&lt;0.05,"SIM","nao")</f>
        <v>nao</v>
      </c>
    </row>
    <row r="30" customFormat="false" ht="15" hidden="false" customHeight="false" outlineLevel="0" collapsed="false">
      <c r="A30" s="10" t="s">
        <v>91</v>
      </c>
      <c r="B30" s="10" t="n">
        <v>1114</v>
      </c>
      <c r="C30" s="10" t="n">
        <v>206</v>
      </c>
      <c r="D30" s="10" t="n">
        <v>1.014</v>
      </c>
      <c r="E30" s="10" t="n">
        <v>0.88</v>
      </c>
      <c r="F30" s="10" t="n">
        <v>1.168</v>
      </c>
      <c r="G30" s="10" t="n">
        <v>0.849743663071081</v>
      </c>
      <c r="H30" s="10" t="n">
        <v>0.503</v>
      </c>
      <c r="I30" s="10" t="n">
        <v>0.702</v>
      </c>
      <c r="J30" s="10" t="n">
        <v>0.915108560230395</v>
      </c>
      <c r="K30" s="12" t="str">
        <f aca="false">IF(N(J30)&lt;0.05,"SIM","nao")</f>
        <v>nao</v>
      </c>
    </row>
    <row r="31" customFormat="false" ht="15" hidden="false" customHeight="false" outlineLevel="0" collapsed="false">
      <c r="A31" s="10" t="s">
        <v>92</v>
      </c>
      <c r="B31" s="10" t="n">
        <v>971</v>
      </c>
      <c r="C31" s="10" t="n">
        <v>191</v>
      </c>
      <c r="D31" s="10" t="n">
        <v>1.005</v>
      </c>
      <c r="E31" s="10" t="n">
        <v>0.859</v>
      </c>
      <c r="F31" s="10" t="n">
        <v>1.175</v>
      </c>
      <c r="G31" s="10" t="n">
        <v>0.954439102207293</v>
      </c>
      <c r="H31" s="10" t="n">
        <v>0.482</v>
      </c>
      <c r="I31" s="10" t="n">
        <v>0.169</v>
      </c>
      <c r="J31" s="10" t="n">
        <v>0.989788698585341</v>
      </c>
      <c r="K31" s="12" t="str">
        <f aca="false">IF(N(J31)&lt;0.05,"SIM","nao")</f>
        <v>nao</v>
      </c>
    </row>
    <row r="32" customFormat="false" ht="15" hidden="false" customHeight="false" outlineLevel="0" collapsed="false">
      <c r="A32" s="10" t="s">
        <v>93</v>
      </c>
      <c r="B32" s="10" t="n">
        <v>971</v>
      </c>
      <c r="C32" s="10" t="n">
        <v>191</v>
      </c>
      <c r="D32" s="10" t="n">
        <v>1</v>
      </c>
      <c r="E32" s="10" t="n">
        <v>0.862</v>
      </c>
      <c r="F32" s="10" t="n">
        <v>1.161</v>
      </c>
      <c r="G32" s="10" t="n">
        <v>0.996940508389749</v>
      </c>
      <c r="H32" s="10" t="n">
        <v>0.517</v>
      </c>
      <c r="I32" s="10" t="n">
        <v>0.062</v>
      </c>
      <c r="J32" s="10" t="n">
        <v>0.996940508389749</v>
      </c>
      <c r="K32" s="12" t="str">
        <f aca="false">IF(N(J32)&lt;0.05,"SIM","nao")</f>
        <v>nao</v>
      </c>
    </row>
  </sheetData>
  <conditionalFormatting sqref="G5:G32">
    <cfRule type="cellIs" priority="2" operator="lessThan" aboveAverage="0" equalAverage="0" bottom="0" percent="0" rank="0" text="" dxfId="0">
      <formula>0.05</formula>
    </cfRule>
  </conditionalFormatting>
  <conditionalFormatting sqref="J5:J32">
    <cfRule type="cellIs" priority="3" operator="lessThan" aboveAverage="0" equalAverage="0" bottom="0" percent="0" rank="0" text="" dxfId="0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10" min="2" style="0" width="10"/>
  </cols>
  <sheetData>
    <row r="1" customFormat="false" ht="16.15" hidden="false" customHeight="false" outlineLevel="0" collapsed="false">
      <c r="A1" s="7" t="s">
        <v>94</v>
      </c>
    </row>
    <row r="2" customFormat="false" ht="15" hidden="false" customHeight="false" outlineLevel="0" collapsed="false">
      <c r="A2" s="8" t="s">
        <v>95</v>
      </c>
    </row>
    <row r="4" customFormat="false" ht="15" hidden="false" customHeight="false" outlineLevel="0" collapsed="false">
      <c r="A4" s="9" t="s">
        <v>96</v>
      </c>
      <c r="B4" s="9" t="s">
        <v>59</v>
      </c>
      <c r="C4" s="9" t="s">
        <v>60</v>
      </c>
      <c r="D4" s="9" t="s">
        <v>97</v>
      </c>
      <c r="E4" s="9" t="s">
        <v>98</v>
      </c>
      <c r="F4" s="9" t="s">
        <v>14</v>
      </c>
      <c r="G4" s="9" t="s">
        <v>99</v>
      </c>
      <c r="H4" s="9" t="s">
        <v>100</v>
      </c>
      <c r="I4" s="9" t="s">
        <v>101</v>
      </c>
      <c r="J4" s="9" t="s">
        <v>102</v>
      </c>
    </row>
    <row r="5" customFormat="false" ht="15" hidden="false" customHeight="false" outlineLevel="0" collapsed="false">
      <c r="A5" s="10" t="s">
        <v>103</v>
      </c>
      <c r="B5" s="10" t="n">
        <v>936</v>
      </c>
      <c r="C5" s="10" t="n">
        <v>182</v>
      </c>
      <c r="D5" s="10" t="n">
        <v>9</v>
      </c>
      <c r="E5" s="10" t="n">
        <v>20.2</v>
      </c>
      <c r="F5" s="10" t="n">
        <v>0.68</v>
      </c>
      <c r="G5" s="10" t="n">
        <v>0.684</v>
      </c>
      <c r="H5" s="10" t="n">
        <v>0.675</v>
      </c>
      <c r="I5" s="10" t="n">
        <v>0.68</v>
      </c>
      <c r="J5" s="10" t="n">
        <v>0.747</v>
      </c>
    </row>
    <row r="6" customFormat="false" ht="15" hidden="false" customHeight="false" outlineLevel="0" collapsed="false">
      <c r="A6" s="10" t="s">
        <v>104</v>
      </c>
      <c r="B6" s="10" t="n">
        <v>919</v>
      </c>
      <c r="C6" s="10" t="n">
        <v>180</v>
      </c>
      <c r="D6" s="10" t="n">
        <v>11</v>
      </c>
      <c r="E6" s="10" t="n">
        <v>16.4</v>
      </c>
      <c r="F6" s="10" t="n">
        <v>0.683</v>
      </c>
      <c r="G6" s="10" t="n">
        <v>0.685</v>
      </c>
      <c r="H6" s="10" t="n">
        <v>0.674</v>
      </c>
      <c r="I6" s="10" t="n">
        <v>0.681</v>
      </c>
      <c r="J6" s="10" t="n">
        <v>0.742</v>
      </c>
    </row>
    <row r="7" customFormat="false" ht="15" hidden="false" customHeight="false" outlineLevel="0" collapsed="false">
      <c r="A7" s="10" t="s">
        <v>105</v>
      </c>
      <c r="B7" s="10" t="n">
        <v>382</v>
      </c>
      <c r="C7" s="10" t="n">
        <v>137</v>
      </c>
      <c r="D7" s="10" t="n">
        <v>11</v>
      </c>
      <c r="E7" s="10" t="n">
        <v>12.5</v>
      </c>
      <c r="F7" s="10" t="n">
        <v>0.711</v>
      </c>
      <c r="G7" s="10" t="n">
        <v>0.762</v>
      </c>
      <c r="H7" s="10" t="n">
        <v>0.737</v>
      </c>
      <c r="I7" s="10" t="n">
        <v>0.716</v>
      </c>
      <c r="J7" s="10" t="n">
        <v>0.781</v>
      </c>
    </row>
    <row r="8" customFormat="false" ht="15" hidden="false" customHeight="false" outlineLevel="0" collapsed="false">
      <c r="A8" s="10" t="s">
        <v>106</v>
      </c>
      <c r="B8" s="10" t="n">
        <v>378</v>
      </c>
      <c r="C8" s="10" t="n">
        <v>137</v>
      </c>
      <c r="D8" s="10" t="n">
        <v>13</v>
      </c>
      <c r="E8" s="10" t="n">
        <v>10.5</v>
      </c>
      <c r="F8" s="10" t="n">
        <v>0.712</v>
      </c>
      <c r="G8" s="10" t="n">
        <v>0.772</v>
      </c>
      <c r="H8" s="10" t="n">
        <v>0.742</v>
      </c>
      <c r="I8" s="10" t="n">
        <v>0.717</v>
      </c>
      <c r="J8" s="10" t="n">
        <v>0.776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7" min="4" style="0" width="10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7" t="s">
        <v>107</v>
      </c>
    </row>
    <row r="2" customFormat="false" ht="15" hidden="false" customHeight="false" outlineLevel="0" collapsed="false">
      <c r="A2" s="8" t="s">
        <v>108</v>
      </c>
    </row>
    <row r="4" customFormat="false" ht="26.85" hidden="false" customHeight="false" outlineLevel="0" collapsed="false">
      <c r="A4" s="9" t="s">
        <v>109</v>
      </c>
      <c r="B4" s="9" t="s">
        <v>110</v>
      </c>
      <c r="C4" s="9" t="s">
        <v>111</v>
      </c>
      <c r="D4" s="9" t="s">
        <v>112</v>
      </c>
      <c r="E4" s="9" t="s">
        <v>113</v>
      </c>
      <c r="F4" s="9" t="s">
        <v>114</v>
      </c>
      <c r="G4" s="9" t="s">
        <v>115</v>
      </c>
      <c r="H4" s="9" t="s">
        <v>116</v>
      </c>
    </row>
    <row r="5" customFormat="false" ht="15" hidden="false" customHeight="false" outlineLevel="0" collapsed="false">
      <c r="A5" s="10" t="s">
        <v>117</v>
      </c>
      <c r="B5" s="10" t="n">
        <v>919</v>
      </c>
      <c r="C5" s="10" t="n">
        <v>108</v>
      </c>
      <c r="D5" s="10" t="n">
        <v>0.682</v>
      </c>
      <c r="E5" s="10" t="n">
        <v>0.683</v>
      </c>
      <c r="F5" s="10" t="n">
        <v>0</v>
      </c>
      <c r="G5" s="10" t="n">
        <v>0.001</v>
      </c>
      <c r="H5" s="10" t="n">
        <v>0.03</v>
      </c>
    </row>
    <row r="6" customFormat="false" ht="15" hidden="false" customHeight="false" outlineLevel="0" collapsed="false">
      <c r="A6" s="10" t="s">
        <v>118</v>
      </c>
      <c r="B6" s="10" t="n">
        <v>382</v>
      </c>
      <c r="C6" s="10" t="n">
        <v>75</v>
      </c>
      <c r="D6" s="10" t="n">
        <v>0.699</v>
      </c>
      <c r="E6" s="10" t="n">
        <v>0.711</v>
      </c>
      <c r="F6" s="10" t="n">
        <v>0.012</v>
      </c>
      <c r="G6" s="10" t="n">
        <v>0.0019</v>
      </c>
      <c r="H6" s="10" t="n">
        <v>0.065</v>
      </c>
    </row>
    <row r="7" customFormat="false" ht="15" hidden="false" customHeight="false" outlineLevel="0" collapsed="false">
      <c r="A7" s="10" t="s">
        <v>119</v>
      </c>
      <c r="B7" s="10" t="n">
        <v>378</v>
      </c>
      <c r="C7" s="10" t="n">
        <v>75</v>
      </c>
      <c r="D7" s="10" t="n">
        <v>0.699</v>
      </c>
      <c r="E7" s="10" t="n">
        <v>0.712</v>
      </c>
      <c r="F7" s="10" t="n">
        <v>0.013</v>
      </c>
      <c r="G7" s="10" t="n">
        <v>0.0078</v>
      </c>
      <c r="H7" s="10" t="n">
        <v>0.195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</cols>
  <sheetData>
    <row r="1" customFormat="false" ht="16.15" hidden="false" customHeight="false" outlineLevel="0" collapsed="false">
      <c r="A1" s="7" t="s">
        <v>120</v>
      </c>
    </row>
    <row r="2" customFormat="false" ht="15" hidden="false" customHeight="false" outlineLevel="0" collapsed="false">
      <c r="A2" s="8" t="s">
        <v>121</v>
      </c>
    </row>
    <row r="4" customFormat="false" ht="15" hidden="false" customHeight="false" outlineLevel="0" collapsed="false">
      <c r="A4" s="9" t="s">
        <v>122</v>
      </c>
      <c r="B4" s="9" t="s">
        <v>97</v>
      </c>
      <c r="C4" s="9" t="s">
        <v>14</v>
      </c>
    </row>
    <row r="5" customFormat="false" ht="15" hidden="false" customHeight="false" outlineLevel="0" collapsed="false">
      <c r="A5" s="10" t="s">
        <v>123</v>
      </c>
      <c r="B5" s="10" t="n">
        <v>2</v>
      </c>
      <c r="C5" s="10" t="n">
        <v>0.595</v>
      </c>
    </row>
    <row r="6" customFormat="false" ht="15" hidden="false" customHeight="false" outlineLevel="0" collapsed="false">
      <c r="A6" s="10" t="s">
        <v>124</v>
      </c>
      <c r="B6" s="10" t="n">
        <v>5</v>
      </c>
      <c r="C6" s="10" t="n">
        <v>0.65</v>
      </c>
    </row>
    <row r="7" customFormat="false" ht="15" hidden="false" customHeight="false" outlineLevel="0" collapsed="false">
      <c r="A7" s="10" t="s">
        <v>125</v>
      </c>
      <c r="B7" s="10" t="n">
        <v>9</v>
      </c>
      <c r="C7" s="10" t="n">
        <v>0.678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6" min="2" style="0" width="10"/>
    <col collapsed="false" customWidth="true" hidden="false" outlineLevel="0" max="7" min="7" style="0" width="20"/>
  </cols>
  <sheetData>
    <row r="1" customFormat="false" ht="16.15" hidden="false" customHeight="false" outlineLevel="0" collapsed="false">
      <c r="A1" s="7" t="s">
        <v>126</v>
      </c>
    </row>
    <row r="2" customFormat="false" ht="15" hidden="false" customHeight="false" outlineLevel="0" collapsed="false">
      <c r="A2" s="8" t="s">
        <v>127</v>
      </c>
    </row>
    <row r="4" customFormat="false" ht="15" hidden="false" customHeight="false" outlineLevel="0" collapsed="false">
      <c r="A4" s="9" t="s">
        <v>128</v>
      </c>
      <c r="B4" s="9" t="s">
        <v>59</v>
      </c>
      <c r="C4" s="9" t="s">
        <v>60</v>
      </c>
      <c r="D4" s="9" t="s">
        <v>61</v>
      </c>
      <c r="E4" s="9" t="s">
        <v>62</v>
      </c>
      <c r="F4" s="9" t="s">
        <v>63</v>
      </c>
      <c r="G4" s="9" t="s">
        <v>64</v>
      </c>
      <c r="H4" s="11" t="s">
        <v>65</v>
      </c>
    </row>
    <row r="5" customFormat="false" ht="15" hidden="false" customHeight="false" outlineLevel="0" collapsed="false">
      <c r="A5" s="10" t="s">
        <v>129</v>
      </c>
      <c r="B5" s="10" t="n">
        <v>924</v>
      </c>
      <c r="C5" s="10" t="n">
        <v>223</v>
      </c>
      <c r="D5" s="10" t="n">
        <v>1.159</v>
      </c>
      <c r="E5" s="10" t="n">
        <v>1.016</v>
      </c>
      <c r="F5" s="10" t="n">
        <v>1.321</v>
      </c>
      <c r="G5" s="10" t="n">
        <v>0.028414646748204</v>
      </c>
      <c r="H5" s="12" t="str">
        <f aca="false">IF(N(G5)&lt;0.05,"SIM","nao")</f>
        <v>SIM</v>
      </c>
    </row>
    <row r="6" customFormat="false" ht="15" hidden="false" customHeight="false" outlineLevel="0" collapsed="false">
      <c r="A6" s="10" t="s">
        <v>130</v>
      </c>
      <c r="B6" s="10" t="n">
        <v>924</v>
      </c>
      <c r="C6" s="10" t="n">
        <v>223</v>
      </c>
      <c r="D6" s="10" t="n">
        <v>1.459</v>
      </c>
      <c r="E6" s="10" t="n">
        <v>1.029</v>
      </c>
      <c r="F6" s="10" t="n">
        <v>2.068</v>
      </c>
      <c r="G6" s="10" t="n">
        <v>0.0341840264296663</v>
      </c>
      <c r="H6" s="12" t="str">
        <f aca="false">IF(N(G6)&lt;0.05,"SIM","nao")</f>
        <v>SIM</v>
      </c>
    </row>
  </sheetData>
  <conditionalFormatting sqref="G5:G6">
    <cfRule type="cellIs" priority="2" operator="lessThan" aboveAverage="0" equalAverage="0" bottom="0" percent="0" rank="0" text="" dxfId="0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16.15" hidden="false" customHeight="false" outlineLevel="0" collapsed="false">
      <c r="A1" s="7" t="s">
        <v>131</v>
      </c>
    </row>
    <row r="2" customFormat="false" ht="15" hidden="false" customHeight="false" outlineLevel="0" collapsed="false">
      <c r="A2" s="8" t="s">
        <v>132</v>
      </c>
    </row>
    <row r="4" customFormat="false" ht="26.85" hidden="false" customHeight="false" outlineLevel="0" collapsed="false">
      <c r="A4" s="9" t="s">
        <v>133</v>
      </c>
      <c r="B4" s="9" t="s">
        <v>59</v>
      </c>
      <c r="C4" s="9" t="s">
        <v>134</v>
      </c>
      <c r="D4" s="9" t="s">
        <v>135</v>
      </c>
      <c r="E4" s="9" t="s">
        <v>136</v>
      </c>
      <c r="F4" s="9" t="s">
        <v>137</v>
      </c>
      <c r="G4" s="11" t="s">
        <v>65</v>
      </c>
    </row>
    <row r="5" customFormat="false" ht="15" hidden="false" customHeight="false" outlineLevel="0" collapsed="false">
      <c r="A5" s="10" t="s">
        <v>138</v>
      </c>
      <c r="B5" s="10" t="n">
        <v>326</v>
      </c>
      <c r="C5" s="10" t="n">
        <v>0.965</v>
      </c>
      <c r="D5" s="10" t="n">
        <v>0.844153769254245</v>
      </c>
      <c r="E5" s="10" t="n">
        <v>0.82</v>
      </c>
      <c r="F5" s="10" t="n">
        <v>0.650045925404736</v>
      </c>
      <c r="G5" s="12" t="str">
        <f aca="false">IF(N(F5)&lt;0.05,"SIM","nao")</f>
        <v>nao</v>
      </c>
    </row>
    <row r="6" customFormat="false" ht="15" hidden="false" customHeight="false" outlineLevel="0" collapsed="false">
      <c r="A6" s="10" t="s">
        <v>139</v>
      </c>
      <c r="B6" s="10" t="n">
        <v>326</v>
      </c>
      <c r="C6" s="10" t="n">
        <v>1.086</v>
      </c>
      <c r="D6" s="10" t="n">
        <v>0.667145902416822</v>
      </c>
      <c r="E6" s="10" t="n">
        <v>1.444</v>
      </c>
      <c r="F6" s="10" t="n">
        <v>0.392516102672281</v>
      </c>
      <c r="G6" s="12" t="str">
        <f aca="false">IF(N(F6)&lt;0.05,"SIM","nao")</f>
        <v>nao</v>
      </c>
    </row>
  </sheetData>
  <conditionalFormatting sqref="D5:D6">
    <cfRule type="cellIs" priority="2" operator="lessThan" aboveAverage="0" equalAverage="0" bottom="0" percent="0" rank="0" text="" dxfId="0">
      <formula>0.05</formula>
    </cfRule>
  </conditionalFormatting>
  <conditionalFormatting sqref="F5:F6">
    <cfRule type="cellIs" priority="3" operator="lessThan" aboveAverage="0" equalAverage="0" bottom="0" percent="0" rank="0" text="" dxfId="0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"/>
  </cols>
  <sheetData>
    <row r="1" customFormat="false" ht="16.15" hidden="false" customHeight="false" outlineLevel="0" collapsed="false">
      <c r="A1" s="7" t="s">
        <v>140</v>
      </c>
    </row>
    <row r="2" customFormat="false" ht="15" hidden="false" customHeight="false" outlineLevel="0" collapsed="false">
      <c r="A2" s="8" t="s">
        <v>141</v>
      </c>
    </row>
    <row r="4" customFormat="false" ht="15" hidden="false" customHeight="false" outlineLevel="0" collapsed="false">
      <c r="A4" s="9" t="s">
        <v>142</v>
      </c>
      <c r="B4" s="9" t="s">
        <v>143</v>
      </c>
    </row>
    <row r="5" customFormat="false" ht="15" hidden="false" customHeight="false" outlineLevel="0" collapsed="false">
      <c r="A5" s="10" t="s">
        <v>144</v>
      </c>
      <c r="B5" s="10" t="n">
        <v>0.68</v>
      </c>
    </row>
    <row r="6" customFormat="false" ht="15" hidden="false" customHeight="false" outlineLevel="0" collapsed="false">
      <c r="A6" s="10" t="s">
        <v>145</v>
      </c>
      <c r="B6" s="10" t="n">
        <v>0.019</v>
      </c>
    </row>
    <row r="7" customFormat="false" ht="15" hidden="false" customHeight="false" outlineLevel="0" collapsed="false">
      <c r="A7" s="10" t="s">
        <v>146</v>
      </c>
      <c r="B7" s="10" t="n">
        <v>0.661</v>
      </c>
    </row>
    <row r="8" customFormat="false" ht="15" hidden="false" customHeight="false" outlineLevel="0" collapsed="false">
      <c r="A8" s="10" t="s">
        <v>147</v>
      </c>
      <c r="B8" s="10" t="n">
        <v>0.654</v>
      </c>
    </row>
    <row r="9" customFormat="false" ht="15" hidden="false" customHeight="false" outlineLevel="0" collapsed="false">
      <c r="A9" s="10" t="s">
        <v>148</v>
      </c>
      <c r="B9" s="10" t="n">
        <v>0.92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7" t="s">
        <v>149</v>
      </c>
    </row>
    <row r="2" customFormat="false" ht="15" hidden="false" customHeight="false" outlineLevel="0" collapsed="false">
      <c r="A2" s="8" t="s">
        <v>150</v>
      </c>
    </row>
    <row r="4" customFormat="false" ht="26.85" hidden="false" customHeight="false" outlineLevel="0" collapsed="false">
      <c r="A4" s="9" t="s">
        <v>151</v>
      </c>
      <c r="B4" s="9" t="s">
        <v>152</v>
      </c>
      <c r="C4" s="9" t="s">
        <v>153</v>
      </c>
      <c r="D4" s="9" t="s">
        <v>59</v>
      </c>
    </row>
    <row r="5" customFormat="false" ht="15" hidden="false" customHeight="false" outlineLevel="0" collapsed="false">
      <c r="A5" s="10" t="n">
        <v>1</v>
      </c>
      <c r="B5" s="10" t="n">
        <v>0.102</v>
      </c>
      <c r="C5" s="10" t="n">
        <v>0.133</v>
      </c>
      <c r="D5" s="10" t="n">
        <v>188</v>
      </c>
    </row>
    <row r="6" customFormat="false" ht="15" hidden="false" customHeight="false" outlineLevel="0" collapsed="false">
      <c r="A6" s="10" t="n">
        <v>2</v>
      </c>
      <c r="B6" s="10" t="n">
        <v>0.144</v>
      </c>
      <c r="C6" s="10" t="n">
        <v>0.141</v>
      </c>
      <c r="D6" s="10" t="n">
        <v>187</v>
      </c>
    </row>
    <row r="7" customFormat="false" ht="15" hidden="false" customHeight="false" outlineLevel="0" collapsed="false">
      <c r="A7" s="10" t="n">
        <v>3</v>
      </c>
      <c r="B7" s="10" t="n">
        <v>0.185</v>
      </c>
      <c r="C7" s="10" t="n">
        <v>0.228</v>
      </c>
      <c r="D7" s="10" t="n">
        <v>187</v>
      </c>
    </row>
    <row r="8" customFormat="false" ht="15" hidden="false" customHeight="false" outlineLevel="0" collapsed="false">
      <c r="A8" s="10" t="n">
        <v>4</v>
      </c>
      <c r="B8" s="10" t="n">
        <v>0.242</v>
      </c>
      <c r="C8" s="10" t="n">
        <v>0.23</v>
      </c>
      <c r="D8" s="10" t="n">
        <v>187</v>
      </c>
    </row>
    <row r="9" customFormat="false" ht="15" hidden="false" customHeight="false" outlineLevel="0" collapsed="false">
      <c r="A9" s="10" t="n">
        <v>5</v>
      </c>
      <c r="B9" s="10" t="n">
        <v>0.413</v>
      </c>
      <c r="C9" s="10" t="n">
        <v>0.354</v>
      </c>
      <c r="D9" s="10" t="n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9"/>
    <col collapsed="false" customWidth="true" hidden="false" outlineLevel="0" max="3" min="3" style="0" width="11"/>
  </cols>
  <sheetData>
    <row r="1" customFormat="false" ht="16.15" hidden="false" customHeight="false" outlineLevel="0" collapsed="false">
      <c r="A1" s="7" t="s">
        <v>154</v>
      </c>
    </row>
    <row r="2" customFormat="false" ht="15" hidden="false" customHeight="false" outlineLevel="0" collapsed="false">
      <c r="A2" s="8" t="s">
        <v>155</v>
      </c>
    </row>
    <row r="4" customFormat="false" ht="15" hidden="false" customHeight="false" outlineLevel="0" collapsed="false">
      <c r="A4" s="9" t="s">
        <v>156</v>
      </c>
      <c r="B4" s="9" t="s">
        <v>157</v>
      </c>
      <c r="C4" s="9" t="s">
        <v>158</v>
      </c>
    </row>
    <row r="5" customFormat="false" ht="15" hidden="false" customHeight="false" outlineLevel="0" collapsed="false">
      <c r="A5" s="10" t="s">
        <v>159</v>
      </c>
      <c r="B5" s="10" t="n">
        <v>14.9</v>
      </c>
      <c r="C5" s="10" t="s">
        <v>160</v>
      </c>
    </row>
    <row r="6" customFormat="false" ht="15" hidden="false" customHeight="false" outlineLevel="0" collapsed="false">
      <c r="A6" s="10" t="s">
        <v>161</v>
      </c>
      <c r="B6" s="10" t="n">
        <v>28</v>
      </c>
      <c r="C6" s="10" t="s">
        <v>162</v>
      </c>
    </row>
    <row r="7" customFormat="false" ht="15" hidden="false" customHeight="false" outlineLevel="0" collapsed="false">
      <c r="A7" s="10" t="s">
        <v>163</v>
      </c>
      <c r="B7" s="10" t="n">
        <v>41.3</v>
      </c>
      <c r="C7" s="10" t="s">
        <v>164</v>
      </c>
    </row>
    <row r="8" customFormat="false" ht="15" hidden="false" customHeight="false" outlineLevel="0" collapsed="false">
      <c r="A8" s="10" t="s">
        <v>165</v>
      </c>
      <c r="B8" s="10" t="n">
        <v>56.9</v>
      </c>
      <c r="C8" s="10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2"/>
    <col collapsed="false" customWidth="true" hidden="false" outlineLevel="0" max="6" min="5" style="0" width="10"/>
  </cols>
  <sheetData>
    <row r="1" customFormat="false" ht="16.15" hidden="false" customHeight="false" outlineLevel="0" collapsed="false">
      <c r="A1" s="7" t="s">
        <v>167</v>
      </c>
    </row>
    <row r="2" customFormat="false" ht="15" hidden="false" customHeight="false" outlineLevel="0" collapsed="false">
      <c r="A2" s="8" t="s">
        <v>168</v>
      </c>
    </row>
    <row r="4" customFormat="false" ht="15" hidden="false" customHeight="false" outlineLevel="0" collapsed="false">
      <c r="A4" s="9" t="s">
        <v>169</v>
      </c>
      <c r="B4" s="9" t="s">
        <v>170</v>
      </c>
      <c r="C4" s="9" t="s">
        <v>171</v>
      </c>
      <c r="D4" s="9" t="s">
        <v>172</v>
      </c>
      <c r="E4" s="9" t="s">
        <v>173</v>
      </c>
      <c r="F4" s="9" t="s">
        <v>64</v>
      </c>
      <c r="G4" s="11" t="s">
        <v>65</v>
      </c>
    </row>
    <row r="5" customFormat="false" ht="15" hidden="false" customHeight="false" outlineLevel="0" collapsed="false">
      <c r="A5" s="10" t="s">
        <v>174</v>
      </c>
      <c r="B5" s="10" t="s">
        <v>175</v>
      </c>
      <c r="C5" s="10" t="s">
        <v>176</v>
      </c>
      <c r="D5" s="10" t="s">
        <v>177</v>
      </c>
      <c r="E5" s="10" t="n">
        <v>31</v>
      </c>
      <c r="F5" s="10" t="n">
        <v>0</v>
      </c>
      <c r="G5" s="12" t="str">
        <f aca="false">IF(N(F5)&lt;0.05,"SIM","nao")</f>
        <v>SIM</v>
      </c>
    </row>
    <row r="6" customFormat="false" ht="15" hidden="false" customHeight="false" outlineLevel="0" collapsed="false">
      <c r="A6" s="10" t="s">
        <v>178</v>
      </c>
      <c r="B6" s="10" t="s">
        <v>179</v>
      </c>
      <c r="C6" s="10" t="s">
        <v>180</v>
      </c>
      <c r="D6" s="10" t="s">
        <v>181</v>
      </c>
      <c r="E6" s="10" t="n">
        <v>31</v>
      </c>
      <c r="F6" s="10" t="n">
        <v>0.0148</v>
      </c>
      <c r="G6" s="12" t="str">
        <f aca="false">IF(N(F6)&lt;0.05,"SIM","nao")</f>
        <v>SIM</v>
      </c>
    </row>
    <row r="7" customFormat="false" ht="15" hidden="false" customHeight="false" outlineLevel="0" collapsed="false">
      <c r="A7" s="10" t="s">
        <v>182</v>
      </c>
      <c r="B7" s="10" t="s">
        <v>183</v>
      </c>
      <c r="C7" s="10" t="s">
        <v>184</v>
      </c>
      <c r="D7" s="10" t="s">
        <v>185</v>
      </c>
      <c r="E7" s="10" t="n">
        <v>23</v>
      </c>
      <c r="F7" s="10" t="n">
        <v>0.8066</v>
      </c>
      <c r="G7" s="12" t="str">
        <f aca="false">IF(N(F7)&lt;0.05,"SIM","nao")</f>
        <v>nao</v>
      </c>
    </row>
    <row r="8" customFormat="false" ht="15" hidden="false" customHeight="false" outlineLevel="0" collapsed="false">
      <c r="A8" s="10" t="s">
        <v>186</v>
      </c>
      <c r="B8" s="10" t="s">
        <v>187</v>
      </c>
      <c r="C8" s="10" t="s">
        <v>187</v>
      </c>
      <c r="D8" s="10" t="s">
        <v>188</v>
      </c>
      <c r="E8" s="10" t="n">
        <v>23</v>
      </c>
      <c r="F8" s="10" t="n">
        <v>0.3395</v>
      </c>
      <c r="G8" s="12" t="str">
        <f aca="false">IF(N(F8)&lt;0.05,"SIM","nao")</f>
        <v>nao</v>
      </c>
    </row>
    <row r="9" customFormat="false" ht="15" hidden="false" customHeight="false" outlineLevel="0" collapsed="false">
      <c r="A9" s="10" t="s">
        <v>189</v>
      </c>
      <c r="B9" s="10" t="s">
        <v>190</v>
      </c>
      <c r="C9" s="10" t="s">
        <v>188</v>
      </c>
      <c r="D9" s="10" t="s">
        <v>191</v>
      </c>
      <c r="E9" s="10" t="n">
        <v>23</v>
      </c>
      <c r="F9" s="10" t="n">
        <v>0.0002</v>
      </c>
      <c r="G9" s="12" t="str">
        <f aca="false">IF(N(F9)&lt;0.05,"SIM","nao")</f>
        <v>SIM</v>
      </c>
    </row>
    <row r="10" customFormat="false" ht="15" hidden="false" customHeight="false" outlineLevel="0" collapsed="false">
      <c r="A10" s="10" t="s">
        <v>192</v>
      </c>
      <c r="B10" s="10" t="s">
        <v>193</v>
      </c>
      <c r="C10" s="10" t="s">
        <v>194</v>
      </c>
      <c r="D10" s="10" t="s">
        <v>195</v>
      </c>
      <c r="E10" s="10" t="n">
        <v>24</v>
      </c>
      <c r="F10" s="10" t="n">
        <v>0.0001</v>
      </c>
      <c r="G10" s="12" t="str">
        <f aca="false">IF(N(F10)&lt;0.05,"SIM","nao")</f>
        <v>SIM</v>
      </c>
    </row>
    <row r="11" customFormat="false" ht="15" hidden="false" customHeight="false" outlineLevel="0" collapsed="false">
      <c r="A11" s="10" t="s">
        <v>196</v>
      </c>
      <c r="B11" s="10" t="s">
        <v>197</v>
      </c>
      <c r="C11" s="10" t="s">
        <v>197</v>
      </c>
      <c r="D11" s="10" t="s">
        <v>197</v>
      </c>
      <c r="E11" s="10" t="n">
        <v>23</v>
      </c>
      <c r="F11" s="10" t="n">
        <v>0.3741</v>
      </c>
      <c r="G11" s="12" t="str">
        <f aca="false">IF(N(F11)&lt;0.05,"SIM","nao")</f>
        <v>nao</v>
      </c>
    </row>
    <row r="12" customFormat="false" ht="15" hidden="false" customHeight="false" outlineLevel="0" collapsed="false">
      <c r="A12" s="10" t="s">
        <v>198</v>
      </c>
      <c r="B12" s="10" t="s">
        <v>199</v>
      </c>
      <c r="C12" s="10" t="s">
        <v>199</v>
      </c>
      <c r="D12" s="10" t="s">
        <v>200</v>
      </c>
      <c r="E12" s="10" t="n">
        <v>23</v>
      </c>
      <c r="F12" s="10" t="n">
        <v>0.8706</v>
      </c>
      <c r="G12" s="12" t="str">
        <f aca="false">IF(N(F12)&lt;0.05,"SIM","nao")</f>
        <v>nao</v>
      </c>
    </row>
    <row r="13" customFormat="false" ht="15" hidden="false" customHeight="false" outlineLevel="0" collapsed="false">
      <c r="A13" s="10" t="s">
        <v>201</v>
      </c>
      <c r="B13" s="10" t="s">
        <v>202</v>
      </c>
      <c r="C13" s="10" t="s">
        <v>202</v>
      </c>
      <c r="D13" s="10" t="s">
        <v>203</v>
      </c>
      <c r="E13" s="10" t="n">
        <v>23</v>
      </c>
      <c r="F13" s="10" t="n">
        <v>0.0383</v>
      </c>
      <c r="G13" s="12" t="str">
        <f aca="false">IF(N(F13)&lt;0.05,"SIM","nao")</f>
        <v>SIM</v>
      </c>
    </row>
    <row r="14" customFormat="false" ht="15" hidden="false" customHeight="false" outlineLevel="0" collapsed="false">
      <c r="A14" s="10" t="s">
        <v>204</v>
      </c>
      <c r="B14" s="10" t="s">
        <v>205</v>
      </c>
      <c r="C14" s="10" t="s">
        <v>206</v>
      </c>
      <c r="D14" s="10" t="s">
        <v>207</v>
      </c>
      <c r="E14" s="10" t="n">
        <v>23</v>
      </c>
      <c r="F14" s="10" t="n">
        <v>0.0029</v>
      </c>
      <c r="G14" s="12" t="str">
        <f aca="false">IF(N(F14)&lt;0.05,"SIM","nao")</f>
        <v>SIM</v>
      </c>
    </row>
    <row r="15" customFormat="false" ht="15" hidden="false" customHeight="false" outlineLevel="0" collapsed="false">
      <c r="A15" s="10" t="s">
        <v>208</v>
      </c>
      <c r="B15" s="10" t="s">
        <v>209</v>
      </c>
      <c r="C15" s="10" t="s">
        <v>210</v>
      </c>
      <c r="D15" s="10" t="s">
        <v>211</v>
      </c>
      <c r="E15" s="10" t="n">
        <v>34</v>
      </c>
      <c r="F15" s="10" t="n">
        <v>0.1829</v>
      </c>
      <c r="G15" s="12" t="str">
        <f aca="false">IF(N(F15)&lt;0.05,"SIM","nao")</f>
        <v>nao</v>
      </c>
    </row>
    <row r="16" customFormat="false" ht="15" hidden="false" customHeight="false" outlineLevel="0" collapsed="false">
      <c r="A16" s="10" t="s">
        <v>212</v>
      </c>
      <c r="B16" s="10" t="s">
        <v>213</v>
      </c>
      <c r="C16" s="10" t="s">
        <v>213</v>
      </c>
      <c r="D16" s="10" t="s">
        <v>214</v>
      </c>
      <c r="E16" s="10" t="n">
        <v>23</v>
      </c>
      <c r="F16" s="10" t="n">
        <v>0.0836</v>
      </c>
      <c r="G16" s="12" t="str">
        <f aca="false">IF(N(F16)&lt;0.05,"SIM","nao")</f>
        <v>nao</v>
      </c>
    </row>
    <row r="17" customFormat="false" ht="15" hidden="false" customHeight="false" outlineLevel="0" collapsed="false">
      <c r="A17" s="10" t="s">
        <v>215</v>
      </c>
      <c r="B17" s="10" t="s">
        <v>216</v>
      </c>
      <c r="C17" s="10" t="s">
        <v>217</v>
      </c>
      <c r="D17" s="10" t="s">
        <v>218</v>
      </c>
      <c r="E17" s="10" t="n">
        <v>23</v>
      </c>
      <c r="F17" s="10" t="n">
        <v>0.1623</v>
      </c>
      <c r="G17" s="12" t="str">
        <f aca="false">IF(N(F17)&lt;0.05,"SIM","nao")</f>
        <v>nao</v>
      </c>
    </row>
    <row r="18" customFormat="false" ht="15" hidden="false" customHeight="false" outlineLevel="0" collapsed="false">
      <c r="A18" s="10" t="s">
        <v>219</v>
      </c>
      <c r="B18" s="10" t="s">
        <v>220</v>
      </c>
      <c r="C18" s="10" t="s">
        <v>221</v>
      </c>
      <c r="D18" s="10" t="s">
        <v>222</v>
      </c>
      <c r="E18" s="10" t="n">
        <v>25</v>
      </c>
      <c r="F18" s="10" t="n">
        <v>0.2161</v>
      </c>
      <c r="G18" s="12" t="str">
        <f aca="false">IF(N(F18)&lt;0.05,"SIM","nao")</f>
        <v>nao</v>
      </c>
    </row>
    <row r="19" customFormat="false" ht="15" hidden="false" customHeight="false" outlineLevel="0" collapsed="false">
      <c r="A19" s="10" t="s">
        <v>223</v>
      </c>
      <c r="B19" s="10" t="s">
        <v>224</v>
      </c>
      <c r="C19" s="10" t="s">
        <v>224</v>
      </c>
      <c r="D19" s="10" t="s">
        <v>225</v>
      </c>
      <c r="E19" s="10" t="n">
        <v>33</v>
      </c>
      <c r="F19" s="10" t="n">
        <v>0.0013</v>
      </c>
      <c r="G19" s="12" t="str">
        <f aca="false">IF(N(F19)&lt;0.05,"SIM","nao")</f>
        <v>SIM</v>
      </c>
    </row>
    <row r="20" customFormat="false" ht="15" hidden="false" customHeight="false" outlineLevel="0" collapsed="false">
      <c r="A20" s="10" t="s">
        <v>226</v>
      </c>
      <c r="B20" s="10" t="s">
        <v>227</v>
      </c>
      <c r="C20" s="10" t="s">
        <v>227</v>
      </c>
      <c r="D20" s="10" t="s">
        <v>227</v>
      </c>
      <c r="E20" s="10" t="n">
        <v>33</v>
      </c>
      <c r="F20" s="10" t="n">
        <v>0.6432</v>
      </c>
      <c r="G20" s="12" t="str">
        <f aca="false">IF(N(F20)&lt;0.05,"SIM","nao")</f>
        <v>nao</v>
      </c>
    </row>
    <row r="21" customFormat="false" ht="15" hidden="false" customHeight="false" outlineLevel="0" collapsed="false">
      <c r="A21" s="10" t="s">
        <v>228</v>
      </c>
      <c r="B21" s="10" t="s">
        <v>229</v>
      </c>
      <c r="C21" s="10" t="s">
        <v>230</v>
      </c>
      <c r="D21" s="10" t="s">
        <v>231</v>
      </c>
      <c r="E21" s="10" t="n">
        <v>69</v>
      </c>
      <c r="F21" s="10" t="n">
        <v>0.5307</v>
      </c>
      <c r="G21" s="12" t="str">
        <f aca="false">IF(N(F21)&lt;0.05,"SIM","nao")</f>
        <v>nao</v>
      </c>
    </row>
    <row r="22" customFormat="false" ht="15" hidden="false" customHeight="false" outlineLevel="0" collapsed="false">
      <c r="A22" s="10" t="s">
        <v>232</v>
      </c>
      <c r="B22" s="10" t="s">
        <v>233</v>
      </c>
      <c r="C22" s="10" t="s">
        <v>234</v>
      </c>
      <c r="D22" s="10" t="s">
        <v>235</v>
      </c>
      <c r="E22" s="10" t="n">
        <v>69</v>
      </c>
      <c r="F22" s="10" t="n">
        <v>0.0135</v>
      </c>
      <c r="G22" s="12" t="str">
        <f aca="false">IF(N(F22)&lt;0.05,"SIM","nao")</f>
        <v>SIM</v>
      </c>
    </row>
    <row r="23" customFormat="false" ht="15" hidden="false" customHeight="false" outlineLevel="0" collapsed="false">
      <c r="A23" s="10" t="s">
        <v>236</v>
      </c>
      <c r="B23" s="10" t="s">
        <v>237</v>
      </c>
      <c r="C23" s="10" t="s">
        <v>238</v>
      </c>
      <c r="D23" s="10" t="s">
        <v>239</v>
      </c>
      <c r="E23" s="10" t="n">
        <v>19</v>
      </c>
      <c r="F23" s="10" t="n">
        <v>0.2091</v>
      </c>
      <c r="G23" s="12" t="str">
        <f aca="false">IF(N(F23)&lt;0.05,"SIM","nao")</f>
        <v>nao</v>
      </c>
    </row>
    <row r="24" customFormat="false" ht="15" hidden="false" customHeight="false" outlineLevel="0" collapsed="false">
      <c r="A24" s="10" t="s">
        <v>240</v>
      </c>
      <c r="B24" s="10" t="s">
        <v>241</v>
      </c>
      <c r="C24" s="10" t="s">
        <v>242</v>
      </c>
      <c r="D24" s="10" t="s">
        <v>243</v>
      </c>
      <c r="E24" s="10" t="n">
        <v>23</v>
      </c>
      <c r="F24" s="10" t="n">
        <v>0.0022</v>
      </c>
      <c r="G24" s="12" t="str">
        <f aca="false">IF(N(F24)&lt;0.05,"SIM","nao")</f>
        <v>SIM</v>
      </c>
    </row>
    <row r="25" customFormat="false" ht="15" hidden="false" customHeight="false" outlineLevel="0" collapsed="false">
      <c r="A25" s="10" t="s">
        <v>244</v>
      </c>
      <c r="B25" s="10" t="s">
        <v>245</v>
      </c>
      <c r="C25" s="10" t="s">
        <v>246</v>
      </c>
      <c r="D25" s="10" t="s">
        <v>247</v>
      </c>
      <c r="E25" s="10" t="n">
        <v>31</v>
      </c>
      <c r="F25" s="10" t="n">
        <v>0.3016</v>
      </c>
      <c r="G25" s="12" t="str">
        <f aca="false">IF(N(F25)&lt;0.05,"SIM","nao")</f>
        <v>nao</v>
      </c>
    </row>
    <row r="26" customFormat="false" ht="15" hidden="false" customHeight="false" outlineLevel="0" collapsed="false">
      <c r="A26" s="10" t="s">
        <v>248</v>
      </c>
      <c r="B26" s="10" t="s">
        <v>249</v>
      </c>
      <c r="C26" s="10" t="s">
        <v>250</v>
      </c>
      <c r="D26" s="10" t="s">
        <v>251</v>
      </c>
      <c r="E26" s="10" t="n">
        <v>0</v>
      </c>
      <c r="F26" s="10" t="n">
        <v>0</v>
      </c>
      <c r="G26" s="12" t="str">
        <f aca="false">IF(N(F26)&lt;0.05,"SIM","nao")</f>
        <v>SIM</v>
      </c>
    </row>
    <row r="27" customFormat="false" ht="15" hidden="false" customHeight="false" outlineLevel="0" collapsed="false">
      <c r="A27" s="10" t="s">
        <v>252</v>
      </c>
      <c r="B27" s="10" t="s">
        <v>253</v>
      </c>
      <c r="C27" s="10" t="s">
        <v>254</v>
      </c>
      <c r="D27" s="10" t="s">
        <v>255</v>
      </c>
      <c r="E27" s="10" t="n">
        <v>0</v>
      </c>
      <c r="F27" s="10" t="n">
        <v>0</v>
      </c>
      <c r="G27" s="12" t="str">
        <f aca="false">IF(N(F27)&lt;0.05,"SIM","nao")</f>
        <v>SIM</v>
      </c>
    </row>
  </sheetData>
  <conditionalFormatting sqref="F5:F27">
    <cfRule type="cellIs" priority="2" operator="lessThan" aboveAverage="0" equalAverage="0" bottom="0" percent="0" rank="0" text="" dxfId="0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2026-06-23T01:09:04Z</dcterms:created>
  <dc:creator>openpyxl</dc:creator>
  <dc:description/>
  <dc:language>en-US</dc:language>
  <cp:lastModifiedBy/>
  <dcterms:modified xsi:type="dcterms:W3CDTF">2026-06-23T01:09:04Z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